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'Risk Register'!$A$4:$L$23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9" min="1" max="1"/>
    <col width="32" customWidth="1" style="9" min="2" max="2"/>
    <col width="44" customWidth="1" style="9" min="3" max="3"/>
    <col width="44" customWidth="1" style="9" min="4" max="4"/>
    <col width="44" customWidth="1" style="9" min="5" max="5"/>
    <col width="44" customWidth="1" style="9" min="6" max="7"/>
    <col width="15" customWidth="1" style="10" min="7" max="7"/>
    <col width="12" customWidth="1" style="9" min="8" max="8"/>
    <col width="12" customWidth="1" style="9" min="9" max="9"/>
    <col width="44" customWidth="1" style="9" min="10" max="10"/>
    <col width="12" customWidth="1" style="9" min="11" max="11"/>
    <col width="44" customWidth="1" style="9" min="12" max="12"/>
  </cols>
  <sheetData>
    <row r="1" ht="17.35" customHeight="1" s="10">
      <c r="A1" s="21" t="inlineStr">
        <is>
          <t>XLS-002 — Risk Register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</row>
    <row r="2" ht="15" customHeight="1" s="10">
      <c r="A2" s="19" t="inlineStr">
        <is>
          <t>PMOC Software | Fase 1 | v0.2 — APPROVED | 22/09/2026 | Origem das alterações: Services.NET Phase 1 Audit — Approved; Services.NET segunda revisão formal da Fase 1 v0.2 | Status: APPROVED WITH OPEN ACTIONS — Fase 1 aprovada formalmente pela Services.NET em 22/09/2026; Fase 2 não iniciada | Score = Probabilidade x Impacto (escala 1 a 5).</t>
        </is>
      </c>
      <c r="B2" s="20" t="inlineStr">
        <is>
          <t>Fase 2 — Discovery Preparation</t>
        </is>
      </c>
      <c r="C2" s="20" t="inlineStr">
        <is>
          <t>v0.3-DRAFT</t>
        </is>
      </c>
      <c r="D2" s="20" t="inlineStr">
        <is>
          <t>23/09/2026</t>
        </is>
      </c>
      <c r="E2" s="20" t="inlineStr">
        <is>
          <t>Origem das alterações: execução inicial da Fase 2 Discovery Preparation</t>
        </is>
      </c>
      <c r="F2" s="20" t="inlineStr">
        <is>
          <t>Status: DRAFT — não aprovado; nenhuma entrevista presumida ou executada</t>
        </is>
      </c>
      <c r="G2" s="20" t="n"/>
      <c r="H2" s="22" t="n"/>
      <c r="I2" s="22" t="n"/>
      <c r="J2" s="22" t="n"/>
      <c r="K2" s="22" t="n"/>
      <c r="L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</row>
    <row r="4" ht="30" customHeight="1" s="10">
      <c r="A4" s="23" t="inlineStr">
        <is>
          <t>ID</t>
        </is>
      </c>
      <c r="B4" s="23" t="inlineStr">
        <is>
          <t>Categoria</t>
        </is>
      </c>
      <c r="C4" s="23" t="inlineStr">
        <is>
          <t>Descrição do risco</t>
        </is>
      </c>
      <c r="D4" s="23" t="inlineStr">
        <is>
          <t>Consequência</t>
        </is>
      </c>
      <c r="E4" s="23" t="inlineStr">
        <is>
          <t>Autoridade responsável</t>
        </is>
      </c>
      <c r="F4" s="23" t="inlineStr">
        <is>
          <t>Prob. (1-5)</t>
        </is>
      </c>
      <c r="G4" s="23" t="inlineStr">
        <is>
          <t>Impacto (1-5)</t>
        </is>
      </c>
      <c r="H4" s="23" t="inlineStr">
        <is>
          <t>Score</t>
        </is>
      </c>
      <c r="I4" s="23" t="inlineStr">
        <is>
          <t>Estratégia</t>
        </is>
      </c>
      <c r="J4" s="23" t="inlineStr">
        <is>
          <t>Resposta / Mitigação</t>
        </is>
      </c>
      <c r="K4" s="23" t="inlineStr">
        <is>
          <t>Status</t>
        </is>
      </c>
      <c r="L4" s="23" t="inlineStr">
        <is>
          <t>Alterado em</t>
        </is>
      </c>
    </row>
    <row r="5" ht="46.25" customHeight="1" s="10">
      <c r="A5" s="24" t="inlineStr">
        <is>
          <t>RSK-001</t>
        </is>
      </c>
      <c r="B5" s="24" t="inlineStr">
        <is>
          <t>Regulatório</t>
        </is>
      </c>
      <c r="C5" s="24" t="inlineStr">
        <is>
          <t>Indefinição quanto à extensão da aplicabilidade da ABNT NBR 17037 como referência de qualidade do ar interior após a revogação da RE 9/2003 pela RDC 886/2024, e quanto a quais requisitos do produto dela derivam</t>
        </is>
      </c>
      <c r="D5" s="24" t="inlineStr">
        <is>
          <t>Parâmetros e checklists com lastro normativo incorreto; PMOC questionável</t>
        </is>
      </c>
      <c r="E5" s="24" t="inlineStr">
        <is>
          <t>Jurídico (STK-007)</t>
        </is>
      </c>
      <c r="F5" s="24" t="n">
        <v>3</v>
      </c>
      <c r="G5" s="24" t="n">
        <v>4</v>
      </c>
      <c r="H5" s="24">
        <f>F5*G5</f>
        <v/>
      </c>
      <c r="I5" s="24" t="inlineStr">
        <is>
          <t>Mitigar</t>
        </is>
      </c>
      <c r="J5" s="24" t="inlineStr">
        <is>
          <t>Fonte oficial da ANVISA registrada (Guia nº 73/2024 v2, Biblioteca Digital item 17752); Compliance as Data isola o impacto ao dado; conteúdo regulatório não carregado sem validação (OOS-015); parecer jurídico e técnico solicitados; aquisição legítima da norma (DEP-003)</t>
        </is>
      </c>
      <c r="K5" s="24" t="inlineStr">
        <is>
          <t>Aberto</t>
        </is>
      </c>
      <c r="L5" s="24" t="inlineStr">
        <is>
          <t>v0.2 — fonte oficial registrada por Codex; score mantido em 12</t>
        </is>
      </c>
    </row>
    <row r="6" ht="35.05" customHeight="1" s="10">
      <c r="A6" s="24" t="inlineStr">
        <is>
          <t>RSK-002</t>
        </is>
      </c>
      <c r="B6" s="24" t="inlineStr">
        <is>
          <t>Segurança</t>
        </is>
      </c>
      <c r="C6" s="24" t="inlineStr">
        <is>
          <t>Vazamento de dados entre tenants por falha de escopo em consulta ou autorização</t>
        </is>
      </c>
      <c r="D6" s="24" t="inlineStr">
        <is>
          <t>Incidente grave, perda de confiança, exposição legal</t>
        </is>
      </c>
      <c r="E6" s="24" t="inlineStr">
        <is>
          <t>Architect (STK-003) / Segurança (STK-005)</t>
        </is>
      </c>
      <c r="F6" s="24" t="n">
        <v>2</v>
      </c>
      <c r="G6" s="24" t="n">
        <v>5</v>
      </c>
      <c r="H6" s="24">
        <f>F6*G6</f>
        <v/>
      </c>
      <c r="I6" s="24" t="inlineStr">
        <is>
          <t>Mitigar</t>
        </is>
      </c>
      <c r="J6" s="24" t="inlineStr">
        <is>
          <t>Escopo de tenant resolvido e autorizado no servidor; testes de autorização negativa; revisão obrigatória em code review; ADR-001 define o mecanismo de isolamento</t>
        </is>
      </c>
      <c r="K6" s="24" t="inlineStr">
        <is>
          <t>Aberto</t>
        </is>
      </c>
      <c r="L6" s="24" t="inlineStr">
        <is>
          <t>v0.2 — texto alinhado à regra semântica</t>
        </is>
      </c>
    </row>
    <row r="7" ht="23.85" customHeight="1" s="10">
      <c r="A7" s="25" t="inlineStr">
        <is>
          <t>RSK-003</t>
        </is>
      </c>
      <c r="B7" s="25" t="inlineStr">
        <is>
          <t>Produto</t>
        </is>
      </c>
      <c r="C7" s="25" t="inlineStr">
        <is>
          <t>Escopo do MVP expandir além do ciclo mínimo (scope creep)</t>
        </is>
      </c>
      <c r="D7" s="25" t="inlineStr">
        <is>
          <t>Atraso, custo e perda de foco</t>
        </is>
      </c>
      <c r="E7" s="25" t="inlineStr">
        <is>
          <t>Product Owner (STK-002)</t>
        </is>
      </c>
      <c r="F7" s="25" t="n">
        <v>4</v>
      </c>
      <c r="G7" s="25" t="n">
        <v>4</v>
      </c>
      <c r="H7" s="25">
        <f>F7*G7</f>
        <v/>
      </c>
      <c r="I7" s="25" t="inlineStr">
        <is>
          <t>Mitigar</t>
        </is>
      </c>
      <c r="J7" s="25" t="inlineStr">
        <is>
          <t>Scope Boundary formal; gestão de mudança com avaliação de impacto</t>
        </is>
      </c>
      <c r="K7" s="25" t="inlineStr">
        <is>
          <t>Aberto</t>
        </is>
      </c>
      <c r="L7" s="25" t="inlineStr">
        <is>
          <t>v0.1</t>
        </is>
      </c>
    </row>
    <row r="8" ht="23.85" customHeight="1" s="10">
      <c r="A8" s="25" t="inlineStr">
        <is>
          <t>RSK-004</t>
        </is>
      </c>
      <c r="B8" s="25" t="inlineStr">
        <is>
          <t>Produto</t>
        </is>
      </c>
      <c r="C8" s="25" t="inlineStr">
        <is>
          <t>Interlocutores, disponibilidade, compromisso operacional ou agenda do tenant-piloto Clima Zero Climatização não se formalizarem a tempo</t>
        </is>
      </c>
      <c r="D8" s="25" t="inlineStr">
        <is>
          <t>Levantamento e validação do MVP atrasados; risco de requisitos presumidos</t>
        </is>
      </c>
      <c r="E8" s="25" t="inlineStr">
        <is>
          <t>Product Owner institucional (STK-002) + Clima Zero Climatização (STK-010)</t>
        </is>
      </c>
      <c r="F8" s="25" t="n">
        <v>3</v>
      </c>
      <c r="G8" s="25" t="n">
        <v>5</v>
      </c>
      <c r="H8" s="25">
        <f>F8*G8</f>
        <v/>
      </c>
      <c r="I8" s="25" t="inlineStr">
        <is>
          <t>Mitigar</t>
        </is>
      </c>
      <c r="J8" s="25" t="inlineStr">
        <is>
          <t>Tenant-piloto definido; registrar interlocutores, disponibilidade e agenda em OQ-022/DEP-004 antes de avançar operacionalmente</t>
        </is>
      </c>
      <c r="K8" s="25" t="inlineStr">
        <is>
          <t>Aberto</t>
        </is>
      </c>
      <c r="L8" s="25" t="inlineStr">
        <is>
          <t>v0.2 — identidade do tenant definida; risco operacional mantido</t>
        </is>
      </c>
    </row>
    <row r="9" ht="23.85" customHeight="1" s="10">
      <c r="A9" s="25" t="inlineStr">
        <is>
          <t>RSK-005</t>
        </is>
      </c>
      <c r="B9" s="25" t="inlineStr">
        <is>
          <t>Governança</t>
        </is>
      </c>
      <c r="C9" s="25" t="inlineStr">
        <is>
          <t>Agentes de desenvolvimento alteram decisões estruturantes silenciosamente</t>
        </is>
      </c>
      <c r="D9" s="25" t="inlineStr">
        <is>
          <t>Erosão arquitetural e perda de rastreabilidade</t>
        </is>
      </c>
      <c r="E9" s="25" t="inlineStr">
        <is>
          <t>Architect (STK-003)</t>
        </is>
      </c>
      <c r="F9" s="25" t="n">
        <v>3</v>
      </c>
      <c r="G9" s="25" t="n">
        <v>4</v>
      </c>
      <c r="H9" s="25">
        <f>F9*G9</f>
        <v/>
      </c>
      <c r="I9" s="25" t="inlineStr">
        <is>
          <t>Mitigar</t>
        </is>
      </c>
      <c r="J9" s="25" t="inlineStr">
        <is>
          <t>AGENTS.md/CLAUDE.md com regras de ADR (Fase 10); revisão independente entre agentes</t>
        </is>
      </c>
      <c r="K9" s="25" t="inlineStr">
        <is>
          <t>Aberto</t>
        </is>
      </c>
      <c r="L9" s="25" t="inlineStr">
        <is>
          <t>v0.1</t>
        </is>
      </c>
    </row>
    <row r="10" ht="23.85" customHeight="1" s="10">
      <c r="A10" s="24" t="inlineStr">
        <is>
          <t>RSK-006</t>
        </is>
      </c>
      <c r="B10" s="24" t="inlineStr">
        <is>
          <t>Técnico</t>
        </is>
      </c>
      <c r="C10" s="24" t="inlineStr">
        <is>
          <t>Modelo de multi-tenancy (ADR-001) definido tardiamente</t>
        </is>
      </c>
      <c r="D10" s="24" t="inlineStr">
        <is>
          <t>Retrabalho estrutural em dados e migrações</t>
        </is>
      </c>
      <c r="E10" s="24" t="inlineStr">
        <is>
          <t>Architect (STK-003)</t>
        </is>
      </c>
      <c r="F10" s="24" t="n">
        <v>3</v>
      </c>
      <c r="G10" s="24" t="n">
        <v>5</v>
      </c>
      <c r="H10" s="24">
        <f>F10*G10</f>
        <v/>
      </c>
      <c r="I10" s="24" t="inlineStr">
        <is>
          <t>Mitigar</t>
        </is>
      </c>
      <c r="J10" s="24" t="inlineStr">
        <is>
          <t>ADR-001 priorizado; até lá vale apenas a regra semântica de pertencimento e autorização</t>
        </is>
      </c>
      <c r="K10" s="24" t="inlineStr">
        <is>
          <t>Aberto</t>
        </is>
      </c>
      <c r="L10" s="24" t="inlineStr">
        <is>
          <t>v0.2 — texto alinhado ao ADR-001</t>
        </is>
      </c>
    </row>
    <row r="11" ht="23.85" customHeight="1" s="10">
      <c r="A11" s="25" t="inlineStr">
        <is>
          <t>RSK-007</t>
        </is>
      </c>
      <c r="B11" s="25" t="inlineStr">
        <is>
          <t>Técnico</t>
        </is>
      </c>
      <c r="C11" s="25" t="inlineStr">
        <is>
          <t>Estratégia de identificadores incompatível com operação offline futura</t>
        </is>
      </c>
      <c r="D11" s="25" t="inlineStr">
        <is>
          <t>Reconstrução de sincronização e de APIs</t>
        </is>
      </c>
      <c r="E11" s="25" t="inlineStr">
        <is>
          <t>Architect (STK-003)</t>
        </is>
      </c>
      <c r="F11" s="25" t="n">
        <v>2</v>
      </c>
      <c r="G11" s="25" t="n">
        <v>4</v>
      </c>
      <c r="H11" s="25">
        <f>F11*G11</f>
        <v/>
      </c>
      <c r="I11" s="25" t="inlineStr">
        <is>
          <t>Mitigar</t>
        </is>
      </c>
      <c r="J11" s="25" t="inlineStr">
        <is>
          <t>ADR-002 antes da implementação</t>
        </is>
      </c>
      <c r="K11" s="25" t="inlineStr">
        <is>
          <t>Aberto</t>
        </is>
      </c>
      <c r="L11" s="25" t="inlineStr">
        <is>
          <t>v0.1</t>
        </is>
      </c>
    </row>
    <row r="12" ht="23.85" customHeight="1" s="10">
      <c r="A12" s="25" t="inlineStr">
        <is>
          <t>RSK-008</t>
        </is>
      </c>
      <c r="B12" s="25" t="inlineStr">
        <is>
          <t>Operacional</t>
        </is>
      </c>
      <c r="C12" s="25" t="inlineStr">
        <is>
          <t>Qualidade do inventário inicial do piloto insuficiente</t>
        </is>
      </c>
      <c r="D12" s="25" t="inlineStr">
        <is>
          <t>Planos e cronogramas irreais</t>
        </is>
      </c>
      <c r="E12" s="25" t="inlineStr">
        <is>
          <t>Product Owner (STK-002)</t>
        </is>
      </c>
      <c r="F12" s="25" t="n">
        <v>4</v>
      </c>
      <c r="G12" s="25" t="n">
        <v>3</v>
      </c>
      <c r="H12" s="25">
        <f>F12*G12</f>
        <v/>
      </c>
      <c r="I12" s="25" t="inlineStr">
        <is>
          <t>Mitigar</t>
        </is>
      </c>
      <c r="J12" s="25" t="inlineStr">
        <is>
          <t>Importação assistida, validações de cadastro e fase de carga</t>
        </is>
      </c>
      <c r="K12" s="25" t="inlineStr">
        <is>
          <t>Aberto</t>
        </is>
      </c>
      <c r="L12" s="25" t="inlineStr">
        <is>
          <t>v0.1</t>
        </is>
      </c>
    </row>
    <row r="13" ht="23.85" customHeight="1" s="10">
      <c r="A13" s="25" t="inlineStr">
        <is>
          <t>RSK-009</t>
        </is>
      </c>
      <c r="B13" s="25" t="inlineStr">
        <is>
          <t>Segurança</t>
        </is>
      </c>
      <c r="C13" s="25" t="inlineStr">
        <is>
          <t>Evidências acessíveis por URL pública permanente</t>
        </is>
      </c>
      <c r="D13" s="25" t="inlineStr">
        <is>
          <t>Exposição de dados de clientes finais</t>
        </is>
      </c>
      <c r="E13" s="25" t="inlineStr">
        <is>
          <t>Architect (STK-003)</t>
        </is>
      </c>
      <c r="F13" s="25" t="n">
        <v>2</v>
      </c>
      <c r="G13" s="25" t="n">
        <v>4</v>
      </c>
      <c r="H13" s="25">
        <f>F13*G13</f>
        <v/>
      </c>
      <c r="I13" s="25" t="inlineStr">
        <is>
          <t>Evitar</t>
        </is>
      </c>
      <c r="J13" s="25" t="inlineStr">
        <is>
          <t>Acesso temporário e autorizado; nunca URL pública persistente</t>
        </is>
      </c>
      <c r="K13" s="25" t="inlineStr">
        <is>
          <t>Aberto</t>
        </is>
      </c>
      <c r="L13" s="25" t="inlineStr">
        <is>
          <t>v0.1</t>
        </is>
      </c>
    </row>
    <row r="14" ht="23.85" customHeight="1" s="10">
      <c r="A14" s="24" t="inlineStr">
        <is>
          <t>RSK-010</t>
        </is>
      </c>
      <c r="B14" s="24" t="inlineStr">
        <is>
          <t>Privacidade</t>
        </is>
      </c>
      <c r="C14" s="24" t="inlineStr">
        <is>
          <t>Coleta de geolocalização ou de dados de manifestação de vontade sem base legal validada</t>
        </is>
      </c>
      <c r="D14" s="24" t="inlineStr">
        <is>
          <t>Não conformidade com a LGPD</t>
        </is>
      </c>
      <c r="E14" s="24" t="inlineStr">
        <is>
          <t>DPO (STK-021)</t>
        </is>
      </c>
      <c r="F14" s="24" t="n">
        <v>3</v>
      </c>
      <c r="G14" s="24" t="n">
        <v>4</v>
      </c>
      <c r="H14" s="24">
        <f>F14*G14</f>
        <v/>
      </c>
      <c r="I14" s="24" t="inlineStr">
        <is>
          <t>Evitar</t>
        </is>
      </c>
      <c r="J14" s="24" t="inlineStr">
        <is>
          <t>Manter CAP-054 e CAP-058 como 'A validar'; não implementar sem parecer do DPO</t>
        </is>
      </c>
      <c r="K14" s="24" t="inlineStr">
        <is>
          <t>Aberto</t>
        </is>
      </c>
      <c r="L14" s="24" t="inlineStr">
        <is>
          <t>v0.2 — responsável alterado para DPO; texto ajustado</t>
        </is>
      </c>
    </row>
    <row r="15" ht="35.05" customHeight="1" s="10">
      <c r="A15" s="24" t="inlineStr">
        <is>
          <t>RSK-011</t>
        </is>
      </c>
      <c r="B15" s="24" t="inlineStr">
        <is>
          <t>Legal</t>
        </is>
      </c>
      <c r="C15" s="24" t="inlineStr">
        <is>
          <t>Reprodução indevida de norma técnica protegida por direito autoral, em especial a ABNT NBR 17037</t>
        </is>
      </c>
      <c r="D15" s="24" t="inlineStr">
        <is>
          <t>Infração de direitos autorais</t>
        </is>
      </c>
      <c r="E15" s="24" t="inlineStr">
        <is>
          <t>Services.NET / Jurídico (STK-007)</t>
        </is>
      </c>
      <c r="F15" s="24" t="n">
        <v>2</v>
      </c>
      <c r="G15" s="24" t="n">
        <v>4</v>
      </c>
      <c r="H15" s="24">
        <f>F15*G15</f>
        <v/>
      </c>
      <c r="I15" s="24" t="inlineStr">
        <is>
          <t>Evitar</t>
        </is>
      </c>
      <c r="J15" s="24" t="inlineStr">
        <is>
          <t>Referenciar, nunca reproduzir; aquisição legítima (DEP-003); revisão documental específica</t>
        </is>
      </c>
      <c r="K15" s="24" t="inlineStr">
        <is>
          <t>Aberto</t>
        </is>
      </c>
      <c r="L15" s="24" t="inlineStr">
        <is>
          <t>v0.2 — norma específica citada; relevância aumentada pela nova referência</t>
        </is>
      </c>
    </row>
    <row r="16" ht="23.85" customHeight="1" s="10">
      <c r="A16" s="25" t="inlineStr">
        <is>
          <t>RSK-012</t>
        </is>
      </c>
      <c r="B16" s="25" t="inlineStr">
        <is>
          <t>Técnico</t>
        </is>
      </c>
      <c r="C16" s="25" t="inlineStr">
        <is>
          <t>Volume de evidências fotográficas cresce além do previsto</t>
        </is>
      </c>
      <c r="D16" s="25" t="inlineStr">
        <is>
          <t>Custo de armazenamento e degradação de desempenho</t>
        </is>
      </c>
      <c r="E16" s="25" t="inlineStr">
        <is>
          <t>Ops (STK-006)</t>
        </is>
      </c>
      <c r="F16" s="25" t="n">
        <v>3</v>
      </c>
      <c r="G16" s="25" t="n">
        <v>3</v>
      </c>
      <c r="H16" s="25">
        <f>F16*G16</f>
        <v/>
      </c>
      <c r="I16" s="25" t="inlineStr">
        <is>
          <t>Mitigar</t>
        </is>
      </c>
      <c r="J16" s="25" t="inlineStr">
        <is>
          <t>Política de retenção, compressão e storage adequado</t>
        </is>
      </c>
      <c r="K16" s="25" t="inlineStr">
        <is>
          <t>Aberto</t>
        </is>
      </c>
      <c r="L16" s="25" t="inlineStr">
        <is>
          <t>v0.1</t>
        </is>
      </c>
    </row>
    <row r="17" ht="23.85" customHeight="1" s="10">
      <c r="A17" s="25" t="inlineStr">
        <is>
          <t>RSK-013</t>
        </is>
      </c>
      <c r="B17" s="25" t="inlineStr">
        <is>
          <t>Operacional</t>
        </is>
      </c>
      <c r="C17" s="25" t="inlineStr">
        <is>
          <t>Conectividade no campo inferior ao assumido</t>
        </is>
      </c>
      <c r="D17" s="25" t="inlineStr">
        <is>
          <t>Perda de registro na origem; adoção comprometida</t>
        </is>
      </c>
      <c r="E17" s="25" t="inlineStr">
        <is>
          <t>Product Owner (STK-002)</t>
        </is>
      </c>
      <c r="F17" s="25" t="n">
        <v>3</v>
      </c>
      <c r="G17" s="25" t="n">
        <v>4</v>
      </c>
      <c r="H17" s="25">
        <f>F17*G17</f>
        <v/>
      </c>
      <c r="I17" s="25" t="inlineStr">
        <is>
          <t>Mitigar</t>
        </is>
      </c>
      <c r="J17" s="25" t="inlineStr">
        <is>
          <t>Medir na Fase 2; antecipar PWA se necessário</t>
        </is>
      </c>
      <c r="K17" s="25" t="inlineStr">
        <is>
          <t>Aberto</t>
        </is>
      </c>
      <c r="L17" s="25" t="inlineStr">
        <is>
          <t>v0.1</t>
        </is>
      </c>
    </row>
    <row r="18" ht="15" customHeight="1" s="10">
      <c r="A18" s="25" t="inlineStr">
        <is>
          <t>RSK-014</t>
        </is>
      </c>
      <c r="B18" s="25" t="inlineStr">
        <is>
          <t>Cronograma</t>
        </is>
      </c>
      <c r="C18" s="25" t="inlineStr">
        <is>
          <t>Equipe, orçamento e prazo indefinidos</t>
        </is>
      </c>
      <c r="D18" s="25" t="inlineStr">
        <is>
          <t>Planejamento não executável</t>
        </is>
      </c>
      <c r="E18" s="25" t="inlineStr">
        <is>
          <t>Patrocinador (STK-001)</t>
        </is>
      </c>
      <c r="F18" s="25" t="n">
        <v>4</v>
      </c>
      <c r="G18" s="25" t="n">
        <v>3</v>
      </c>
      <c r="H18" s="25">
        <f>F18*G18</f>
        <v/>
      </c>
      <c r="I18" s="25" t="inlineStr">
        <is>
          <t>Mitigar</t>
        </is>
      </c>
      <c r="J18" s="25" t="inlineStr">
        <is>
          <t>Obter definição antes do fim da Fase 1</t>
        </is>
      </c>
      <c r="K18" s="25" t="inlineStr">
        <is>
          <t>Aberto</t>
        </is>
      </c>
      <c r="L18" s="25" t="inlineStr">
        <is>
          <t>v0.1</t>
        </is>
      </c>
    </row>
    <row r="19" ht="23.85" customHeight="1" s="10">
      <c r="A19" s="25" t="inlineStr">
        <is>
          <t>RSK-015</t>
        </is>
      </c>
      <c r="B19" s="25" t="inlineStr">
        <is>
          <t>Produto</t>
        </is>
      </c>
      <c r="C19" s="25" t="inlineStr">
        <is>
          <t>Expectativa do piloto divergente do escopo acordado</t>
        </is>
      </c>
      <c r="D19" s="25" t="inlineStr">
        <is>
          <t>Conflito e insatisfação no go-live</t>
        </is>
      </c>
      <c r="E19" s="25" t="inlineStr">
        <is>
          <t>Product Owner (STK-002)</t>
        </is>
      </c>
      <c r="F19" s="25" t="n">
        <v>3</v>
      </c>
      <c r="G19" s="25" t="n">
        <v>3</v>
      </c>
      <c r="H19" s="25">
        <f>F19*G19</f>
        <v/>
      </c>
      <c r="I19" s="25" t="inlineStr">
        <is>
          <t>Mitigar</t>
        </is>
      </c>
      <c r="J19" s="25" t="inlineStr">
        <is>
          <t>Escopo formalizado e comunicado; critérios de aceite acordados</t>
        </is>
      </c>
      <c r="K19" s="25" t="inlineStr">
        <is>
          <t>Aberto</t>
        </is>
      </c>
      <c r="L19" s="25" t="inlineStr">
        <is>
          <t>v0.1</t>
        </is>
      </c>
    </row>
    <row r="20" ht="23.85" customHeight="1" s="10">
      <c r="A20" s="24" t="inlineStr">
        <is>
          <t>RSK-016</t>
        </is>
      </c>
      <c r="B20" s="24" t="inlineStr">
        <is>
          <t>Técnico</t>
        </is>
      </c>
      <c r="C20" s="24" t="inlineStr">
        <is>
          <t>Requisitos regulatórios codificados na aplicação por conveniência</t>
        </is>
      </c>
      <c r="D20" s="24" t="inlineStr">
        <is>
          <t>Cada mudança normativa vira release</t>
        </is>
      </c>
      <c r="E20" s="24" t="inlineStr">
        <is>
          <t>Architect (STK-003)</t>
        </is>
      </c>
      <c r="F20" s="24" t="n">
        <v>3</v>
      </c>
      <c r="G20" s="24" t="n">
        <v>4</v>
      </c>
      <c r="H20" s="24">
        <f>F20*G20</f>
        <v/>
      </c>
      <c r="I20" s="24" t="inlineStr">
        <is>
          <t>Evitar</t>
        </is>
      </c>
      <c r="J20" s="24" t="inlineStr">
        <is>
          <t>Revisão de código específica; critérios AC-MVP-10 e AC-MVP-11</t>
        </is>
      </c>
      <c r="K20" s="24" t="inlineStr">
        <is>
          <t>Aberto</t>
        </is>
      </c>
      <c r="L20" s="24" t="inlineStr">
        <is>
          <t>v0.2 — AC-MVP-11 acrescentado</t>
        </is>
      </c>
    </row>
    <row r="21" ht="15" customHeight="1" s="10">
      <c r="A21" s="25" t="inlineStr">
        <is>
          <t>RSK-017</t>
        </is>
      </c>
      <c r="B21" s="25" t="inlineStr">
        <is>
          <t>Operacional</t>
        </is>
      </c>
      <c r="C21" s="25" t="inlineStr">
        <is>
          <t>Backup existente porém restore nunca testado</t>
        </is>
      </c>
      <c r="D21" s="25" t="inlineStr">
        <is>
          <t>Perda de dados em incidente</t>
        </is>
      </c>
      <c r="E21" s="25" t="inlineStr">
        <is>
          <t>Ops (STK-006)</t>
        </is>
      </c>
      <c r="F21" s="25" t="n">
        <v>3</v>
      </c>
      <c r="G21" s="25" t="n">
        <v>5</v>
      </c>
      <c r="H21" s="25">
        <f>F21*G21</f>
        <v/>
      </c>
      <c r="I21" s="25" t="inlineStr">
        <is>
          <t>Mitigar</t>
        </is>
      </c>
      <c r="J21" s="25" t="inlineStr">
        <is>
          <t>Exercício de restore obrigatório antes do go-live</t>
        </is>
      </c>
      <c r="K21" s="25" t="inlineStr">
        <is>
          <t>Aberto</t>
        </is>
      </c>
      <c r="L21" s="25" t="inlineStr">
        <is>
          <t>v0.1</t>
        </is>
      </c>
    </row>
    <row r="22" ht="23.85" customHeight="1" s="10">
      <c r="A22" s="24" t="inlineStr">
        <is>
          <t>RSK-018</t>
        </is>
      </c>
      <c r="B22" s="24" t="inlineStr">
        <is>
          <t>Dependência</t>
        </is>
      </c>
      <c r="C22" s="24" t="inlineStr">
        <is>
          <t>Atraso em parecer jurídico, do DPO ou de responsável técnico</t>
        </is>
      </c>
      <c r="D22" s="24" t="inlineStr">
        <is>
          <t>Bloqueio de capacidades de conformidade e privacidade</t>
        </is>
      </c>
      <c r="E22" s="24" t="inlineStr">
        <is>
          <t>Product Owner (STK-002)</t>
        </is>
      </c>
      <c r="F22" s="24" t="n">
        <v>3</v>
      </c>
      <c r="G22" s="24" t="n">
        <v>3</v>
      </c>
      <c r="H22" s="24">
        <f>F22*G22</f>
        <v/>
      </c>
      <c r="I22" s="24" t="inlineStr">
        <is>
          <t>Mitigar</t>
        </is>
      </c>
      <c r="J22" s="24" t="inlineStr">
        <is>
          <t>Isolar dependências; MVP limitado à capacidade estrutural, sem depender de decisão pendente</t>
        </is>
      </c>
      <c r="K22" s="24" t="inlineStr">
        <is>
          <t>Aberto</t>
        </is>
      </c>
      <c r="L22" s="24" t="inlineStr">
        <is>
          <t>v0.2 — DPO incluído</t>
        </is>
      </c>
    </row>
    <row r="23" ht="46.25" customHeight="1" s="10">
      <c r="A23" s="24" t="inlineStr">
        <is>
          <t>RSK-019</t>
        </is>
      </c>
      <c r="B23" s="24" t="inlineStr">
        <is>
          <t>Produto</t>
        </is>
      </c>
      <c r="C23" s="24" t="inlineStr">
        <is>
          <t>PMOC emitido perder fidelidade ao estado que o originou, por alteração posterior de cadastro de ativo, plano ou regra</t>
        </is>
      </c>
      <c r="D23" s="24" t="inlineStr">
        <is>
          <t>Documento histórico muda de significado; perda de valor probatório e de defensabilidade do responsável técnico</t>
        </is>
      </c>
      <c r="E23" s="24" t="inlineStr">
        <is>
          <t>Architect (STK-003) / Resp. técnico (STK-012)</t>
        </is>
      </c>
      <c r="F23" s="24" t="n">
        <v>4</v>
      </c>
      <c r="G23" s="24" t="n">
        <v>4</v>
      </c>
      <c r="H23" s="24">
        <f>F23*G23</f>
        <v/>
      </c>
      <c r="I23" s="24" t="inlineStr">
        <is>
          <t>Mitigar</t>
        </is>
      </c>
      <c r="J23" s="24" t="inlineStr">
        <is>
          <t>Princípio PP-13 registrado; mecanismo de preservação do estado de referência a definir nas Fases 3 e 6 (OQ-020); critério AC-MVP-02 atualizado</t>
        </is>
      </c>
      <c r="K23" s="24" t="inlineStr">
        <is>
          <t>Aberto</t>
        </is>
      </c>
      <c r="L23" s="24" t="inlineStr">
        <is>
          <t>v0.2 — NOVO</t>
        </is>
      </c>
    </row>
    <row r="24">
      <c r="A24" s="24" t="inlineStr">
        <is>
          <t>RSK-020</t>
        </is>
      </c>
      <c r="B24" s="24" t="inlineStr">
        <is>
          <t>Governança</t>
        </is>
      </c>
      <c r="C24" s="24" t="inlineStr">
        <is>
          <t>Entrevistas iniciarem sem gate de preparação aprovado</t>
        </is>
      </c>
      <c r="D24" s="24" t="inlineStr">
        <is>
          <t>Requisitos inconsistentes, retrabalho e perda de rastreabilidade</t>
        </is>
      </c>
      <c r="E24" s="24" t="inlineStr">
        <is>
          <t>Product Owner institucional (STK-002)</t>
        </is>
      </c>
      <c r="F24" s="24" t="n">
        <v>3</v>
      </c>
      <c r="G24" s="24" t="n">
        <v>4</v>
      </c>
      <c r="H24" s="24">
        <f>F24*G24</f>
        <v/>
      </c>
      <c r="I24" s="24" t="inlineStr">
        <is>
          <t>Mitigar</t>
        </is>
      </c>
      <c r="J24" s="24" t="inlineStr">
        <is>
          <t>Manter CON-013 e PHASE-02-DISCOVERY-READINESS.md como gate obrigatório</t>
        </is>
      </c>
      <c r="K24" s="24" t="inlineStr">
        <is>
          <t>Aberto</t>
        </is>
      </c>
      <c r="L24" s="24" t="inlineStr">
        <is>
          <t>v0.3-DRAFT</t>
        </is>
      </c>
    </row>
    <row r="25">
      <c r="A25" s="24" t="inlineStr">
        <is>
          <t>RSK-021</t>
        </is>
      </c>
      <c r="B25" s="24" t="inlineStr">
        <is>
          <t>Regulatório</t>
        </is>
      </c>
      <c r="C25" s="24" t="inlineStr">
        <is>
          <t>Exigências estaduais, municipais, setoriais ou contratuais relevantes não serem identificadas antes da catalogação</t>
        </is>
      </c>
      <c r="D25" s="24" t="inlineStr">
        <is>
          <t>Regra A/Regra B incompletas ou produto subdimensionado</t>
        </is>
      </c>
      <c r="E25" s="24" t="inlineStr">
        <is>
          <t>Jurídico (STK-007)</t>
        </is>
      </c>
      <c r="F25" s="24" t="n">
        <v>3</v>
      </c>
      <c r="G25" s="24" t="n">
        <v>5</v>
      </c>
      <c r="H25" s="24">
        <f>F25*G25</f>
        <v/>
      </c>
      <c r="I25" s="24" t="inlineStr">
        <is>
          <t>Mitigar</t>
        </is>
      </c>
      <c r="J25" s="24" t="inlineStr">
        <is>
          <t>Registrar OQ-023 e limitar matriz inicial a fontes verificadas; validar recorte geográfico e setorial</t>
        </is>
      </c>
      <c r="K25" s="24" t="inlineStr">
        <is>
          <t>Aberto</t>
        </is>
      </c>
      <c r="L25" s="24" t="inlineStr">
        <is>
          <t>v0.3-DRAFT</t>
        </is>
      </c>
    </row>
    <row r="26">
      <c r="A26" s="24" t="inlineStr">
        <is>
          <t>RSK-022</t>
        </is>
      </c>
      <c r="B26" s="24" t="inlineStr">
        <is>
          <t>Produto</t>
        </is>
      </c>
      <c r="C26" s="24" t="inlineStr">
        <is>
          <t>Evidências do tenant-piloto chegarem incompletas, desatualizadas ou sem autorização de uso</t>
        </is>
      </c>
      <c r="D26" s="24" t="inlineStr">
        <is>
          <t>Requisitos baseados em memória oral sem comprovação suficiente</t>
        </is>
      </c>
      <c r="E26" s="24" t="inlineStr">
        <is>
          <t>Clima Zero + Product Owner institucional</t>
        </is>
      </c>
      <c r="F26" s="24" t="n">
        <v>3</v>
      </c>
      <c r="G26" s="24" t="n">
        <v>5</v>
      </c>
      <c r="H26" s="24">
        <f>F26*G26</f>
        <v/>
      </c>
      <c r="I26" s="24" t="inlineStr">
        <is>
          <t>Mitigar</t>
        </is>
      </c>
      <c r="J26" s="24" t="inlineStr">
        <is>
          <t>Checklist documental em DOC-010 e DEP-011; anonimizar quando necessário</t>
        </is>
      </c>
      <c r="K26" s="24" t="inlineStr">
        <is>
          <t>Aberto</t>
        </is>
      </c>
      <c r="L26" s="24" t="inlineStr">
        <is>
          <t>v0.3-DRAFT</t>
        </is>
      </c>
    </row>
    <row r="27">
      <c r="A27" s="24" t="inlineStr">
        <is>
          <t>RSK-023</t>
        </is>
      </c>
      <c r="B27" s="24" t="inlineStr">
        <is>
          <t>Compliance</t>
        </is>
      </c>
      <c r="C27" s="24" t="inlineStr">
        <is>
          <t>Prática operacional do tenant ser interpretada como obrigação legal sem validação de fonte</t>
        </is>
      </c>
      <c r="D27" s="24" t="inlineStr">
        <is>
          <t>Produto pode impor regra incorreta a todos os tenants</t>
        </is>
      </c>
      <c r="E27" s="24" t="inlineStr">
        <is>
          <t>Jurídico (STK-007) + Resp. técnico (STK-012)</t>
        </is>
      </c>
      <c r="F27" s="24" t="n">
        <v>4</v>
      </c>
      <c r="G27" s="24" t="n">
        <v>4</v>
      </c>
      <c r="H27" s="24">
        <f>F27*G27</f>
        <v/>
      </c>
      <c r="I27" s="24" t="inlineStr">
        <is>
          <t>Mitigar</t>
        </is>
      </c>
      <c r="J27" s="24" t="inlineStr">
        <is>
          <t>Classificar fontes S1-S5; exigir campo Origem e Evidence; manter GLOBAL/TENANT/PILOT/REGULATORY separados</t>
        </is>
      </c>
      <c r="K27" s="24" t="inlineStr">
        <is>
          <t>Aberto</t>
        </is>
      </c>
      <c r="L27" s="24" t="inlineStr">
        <is>
          <t>v0.3-DRAFT</t>
        </is>
      </c>
    </row>
  </sheetData>
  <autoFilter ref="A4:L23"/>
  <dataValidations count="2">
    <dataValidation sqref="K5:K23" showDropDown="0" showInputMessage="0" showErrorMessage="0" allowBlank="1" type="list" errorStyle="stop" operator="between">
      <formula1>"Aberto,Em tratamento,Mitigado,Aceito,Encerrado"</formula1>
      <formula2>0</formula2>
    </dataValidation>
    <dataValidation sqref="I5:I23" showDropDown="0" showInputMessage="0" showErrorMessage="0" allowBlank="1" type="list" errorStyle="stop" operator="between">
      <formula1>"Evitar,Mitigar,Transferir,Aceitar"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9" min="1" max="1"/>
    <col width="44" customWidth="1" style="9" min="2" max="2"/>
    <col width="12" customWidth="1" style="10" min="3" max="3"/>
    <col width="12" customWidth="1" style="10" min="4" max="4"/>
    <col width="44" customWidth="1" style="10" min="5" max="5"/>
    <col width="44" customWidth="1" style="10" min="6" max="6"/>
  </cols>
  <sheetData>
    <row r="1" ht="17.35" customHeight="1" s="10">
      <c r="A1" s="21" t="inlineStr">
        <is>
          <t>XLS-002 — Resumo (v0.3-DRAFT)</t>
        </is>
      </c>
      <c r="B1" s="22" t="n"/>
      <c r="C1" s="22" t="n"/>
      <c r="D1" s="22" t="n"/>
      <c r="E1" s="22" t="n"/>
      <c r="F1" s="22" t="n"/>
    </row>
    <row r="2" ht="15" customHeight="1" s="10">
      <c r="A2" s="19" t="inlineStr">
        <is>
          <t>Contagens calculadas sobre as linhas de dados (a linha de cabeçalho está na linha 4 e é excluída).</t>
        </is>
      </c>
      <c r="B2" s="20" t="inlineStr">
        <is>
          <t>Fase 2 — Discovery Preparation</t>
        </is>
      </c>
      <c r="C2" s="20" t="inlineStr">
        <is>
          <t>v0.3-DRAFT</t>
        </is>
      </c>
      <c r="D2" s="20" t="inlineStr">
        <is>
          <t>23/09/2026</t>
        </is>
      </c>
      <c r="E2" s="20" t="inlineStr">
        <is>
          <t>Origem das alterações: execução inicial da Fase 2 Discovery Preparation</t>
        </is>
      </c>
      <c r="F2" s="20" t="inlineStr">
        <is>
          <t>Status: DRAFT — não aprovado; nenhuma entrevista presumida ou executada</t>
        </is>
      </c>
    </row>
    <row r="3">
      <c r="A3" s="22" t="n"/>
      <c r="B3" s="22" t="n"/>
      <c r="C3" s="22" t="n"/>
      <c r="D3" s="22" t="n"/>
      <c r="E3" s="22" t="n"/>
      <c r="F3" s="22" t="n"/>
    </row>
    <row r="4" ht="15" customHeight="1" s="10">
      <c r="A4" s="26" t="inlineStr">
        <is>
          <t>Riscos registrados</t>
        </is>
      </c>
      <c r="B4" s="26">
        <f>COUNTA('Risk Register'!A5:A200)</f>
        <v/>
      </c>
      <c r="C4" s="22" t="n"/>
      <c r="D4" s="22" t="n"/>
      <c r="E4" s="22" t="n"/>
      <c r="F4" s="22" t="n"/>
    </row>
    <row r="5" ht="15" customHeight="1" s="10">
      <c r="A5" s="26" t="inlineStr">
        <is>
          <t>Riscos abertos</t>
        </is>
      </c>
      <c r="B5" s="26">
        <f>COUNTIF('Risk Register'!K5:K200,"Aberto")</f>
        <v/>
      </c>
      <c r="C5" s="22" t="n"/>
      <c r="D5" s="22" t="n"/>
      <c r="E5" s="22" t="n"/>
      <c r="F5" s="22" t="n"/>
    </row>
    <row r="6" ht="15" customHeight="1" s="10">
      <c r="A6" s="26" t="inlineStr">
        <is>
          <t>Score máximo</t>
        </is>
      </c>
      <c r="B6" s="26">
        <f>MAX('Risk Register'!H5:H200)</f>
        <v/>
      </c>
      <c r="C6" s="22" t="n"/>
      <c r="D6" s="22" t="n"/>
      <c r="E6" s="22" t="n"/>
      <c r="F6" s="22" t="n"/>
    </row>
    <row r="7" ht="15" customHeight="1" s="10">
      <c r="A7" s="26" t="inlineStr">
        <is>
          <t>Score médio</t>
        </is>
      </c>
      <c r="B7" s="26">
        <f>ROUND(AVERAGE('Risk Register'!H5:H200),1)</f>
        <v/>
      </c>
      <c r="C7" s="22" t="n"/>
      <c r="D7" s="22" t="n"/>
      <c r="E7" s="22" t="n"/>
      <c r="F7" s="22" t="n"/>
    </row>
    <row r="8" ht="15" customHeight="1" s="10">
      <c r="A8" s="26" t="inlineStr">
        <is>
          <t>Riscos com score &gt;= 15</t>
        </is>
      </c>
      <c r="B8" s="26">
        <f>COUNTIF('Risk Register'!H5:H200,"&gt;=15")</f>
        <v/>
      </c>
      <c r="C8" s="22" t="n"/>
      <c r="D8" s="22" t="n"/>
      <c r="E8" s="22" t="n"/>
      <c r="F8" s="22" t="n"/>
    </row>
    <row r="9" ht="15" customHeight="1" s="10">
      <c r="A9" s="26" t="n"/>
      <c r="B9" s="26" t="n"/>
      <c r="C9" s="22" t="n"/>
      <c r="D9" s="22" t="n"/>
      <c r="E9" s="22" t="n"/>
      <c r="F9" s="22" t="n"/>
    </row>
    <row r="10" ht="15" customHeight="1" s="10">
      <c r="A10" s="26" t="inlineStr">
        <is>
          <t>Esperado — riscos</t>
        </is>
      </c>
      <c r="B10" s="26" t="n">
        <v>23</v>
      </c>
      <c r="C10" s="22" t="n"/>
      <c r="D10" s="22" t="n"/>
      <c r="E10" s="22" t="n"/>
      <c r="F10" s="22" t="n"/>
    </row>
    <row r="11" ht="15" customHeight="1" s="10">
      <c r="A11" s="26" t="inlineStr">
        <is>
          <t>Riscos novos na v0.3</t>
        </is>
      </c>
      <c r="B11" s="26" t="n">
        <v>4</v>
      </c>
      <c r="C11" s="22" t="n"/>
      <c r="D11" s="22" t="n"/>
      <c r="E11" s="22" t="n"/>
      <c r="F11" s="22" t="n"/>
    </row>
    <row r="12" ht="15" customHeight="1" s="10">
      <c r="A12" s="26" t="inlineStr">
        <is>
          <t>Riscos alterados na v0.3</t>
        </is>
      </c>
      <c r="B12" s="26" t="n">
        <v>0</v>
      </c>
      <c r="C12" s="22" t="n"/>
      <c r="D12" s="22" t="n"/>
      <c r="E12" s="22" t="n"/>
      <c r="F12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2026-09-22T20:35:42Z</dcterms:created>
  <dcterms:modified xmlns:dcterms="http://purl.org/dc/terms/" xmlns:xsi="http://www.w3.org/2001/XMLSchema-instance" xsi:type="dcterms:W3CDTF">2026-09-23T00:58:03Z</dcterms:modified>
  <cp:lastModifiedBy>MACIEL LIMA DE JESUS, ALAN</cp:lastModifiedBy>
  <cp:revision>0</cp:revision>
</cp:coreProperties>
</file>