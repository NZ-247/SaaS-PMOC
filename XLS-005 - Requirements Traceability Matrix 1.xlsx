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Convenções" sheetId="2" state="visible" r:id="rId4"/>
    <sheet name="Cadeia de rastreio" sheetId="3" state="visible" r:id="rId5"/>
    <sheet name="Summary" sheetId="4" state="visible" r:id="rId6"/>
  </sheets>
  <definedNames>
    <definedName function="false" hidden="true" localSheetId="2" name="_xlnm._FilterDatabase" vbProcedure="false">'Cadeia de rastreio'!$A$4:$C$12</definedName>
    <definedName function="false" hidden="true" localSheetId="1" name="_xlnm._FilterDatabase" vbProcedure="false">Convenções!$A$4:$C$12</definedName>
    <definedName function="false" hidden="true" localSheetId="0" name="_xlnm._FilterDatabase" vbProcedure="false">RTM!$A$4:$P$17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<sst xmlns="http://schemas.openxmlformats.org/spreadsheetml/2006/main" count="293" uniqueCount="191">
  <si>
    <t xml:space="preserve">XLS-005 — Requirements Traceability Matrix (estrutura inicial)</t>
  </si>
  <si>
    <t xml:space="preserve">PMOC Software | Fase 1 | v0.2 DRAFT | 22/09/2026 | Origem das alterações: Services.NET Phase 1 Audit — Approved | Status: aguardando segunda revisão formal da Services.NET | Estrutura criada na Fase 1; preenchimento completo ocorre a partir da Fase 2.</t>
  </si>
  <si>
    <t xml:space="preserve">ID do requisito</t>
  </si>
  <si>
    <t xml:space="preserve">Tipo</t>
  </si>
  <si>
    <t xml:space="preserve">Descrição</t>
  </si>
  <si>
    <t xml:space="preserve">Capacidade (CAP)</t>
  </si>
  <si>
    <t xml:space="preserve">Domínio</t>
  </si>
  <si>
    <t xml:space="preserve">Regra de negócio (BR)</t>
  </si>
  <si>
    <t xml:space="preserve">Caso de uso (UC)</t>
  </si>
  <si>
    <t xml:space="preserve">Módulo/Componente</t>
  </si>
  <si>
    <t xml:space="preserve">API</t>
  </si>
  <si>
    <t xml:space="preserve">Entidade</t>
  </si>
  <si>
    <t xml:space="preserve">Teste</t>
  </si>
  <si>
    <t xml:space="preserve">Critério de aceite</t>
  </si>
  <si>
    <t xml:space="preserve">Classe de escopo</t>
  </si>
  <si>
    <t xml:space="preserve">Status</t>
  </si>
  <si>
    <t xml:space="preserve">Origem</t>
  </si>
  <si>
    <t xml:space="preserve">Alterado em</t>
  </si>
  <si>
    <t xml:space="preserve">FR-001</t>
  </si>
  <si>
    <t xml:space="preserve">Funcional</t>
  </si>
  <si>
    <t xml:space="preserve">A definir na Fase 2</t>
  </si>
  <si>
    <t xml:space="preserve">CAP-022</t>
  </si>
  <si>
    <t xml:space="preserve">D3 — Inventário</t>
  </si>
  <si>
    <t xml:space="preserve">BR-### (a definir)</t>
  </si>
  <si>
    <t xml:space="preserve">UC-### (a definir)</t>
  </si>
  <si>
    <t xml:space="preserve">Equipment</t>
  </si>
  <si>
    <t xml:space="preserve">API (a definir)</t>
  </si>
  <si>
    <t xml:space="preserve">Equipamento</t>
  </si>
  <si>
    <t xml:space="preserve">TST-### (a definir)</t>
  </si>
  <si>
    <t xml:space="preserve">AC-MVP-01</t>
  </si>
  <si>
    <t xml:space="preserve">MVP</t>
  </si>
  <si>
    <t xml:space="preserve">Rascunho</t>
  </si>
  <si>
    <t xml:space="preserve">DOC-006</t>
  </si>
  <si>
    <t xml:space="preserve">v0.1</t>
  </si>
  <si>
    <t xml:space="preserve">NFR-001</t>
  </si>
  <si>
    <t xml:space="preserve">Não funcional</t>
  </si>
  <si>
    <t xml:space="preserve">Todo recurso de negócio possui pertencimento inequívoco a um tenant e toda operação resolve e autoriza o escopo do tenant no servidor</t>
  </si>
  <si>
    <t xml:space="preserve">Transversal</t>
  </si>
  <si>
    <t xml:space="preserve">Plataforma</t>
  </si>
  <si>
    <t xml:space="preserve">BR-000</t>
  </si>
  <si>
    <t xml:space="preserve">—</t>
  </si>
  <si>
    <t xml:space="preserve">Identity / Tenancy</t>
  </si>
  <si>
    <t xml:space="preserve">Todas</t>
  </si>
  <si>
    <t xml:space="preserve">TST-SEC-### (a definir)</t>
  </si>
  <si>
    <t xml:space="preserve">AC-MVP-05</t>
  </si>
  <si>
    <t xml:space="preserve">DOC-007 §5</t>
  </si>
  <si>
    <t xml:space="preserve">v0.2 — reescrito</t>
  </si>
  <si>
    <t xml:space="preserve">SEC-001</t>
  </si>
  <si>
    <t xml:space="preserve">Segurança</t>
  </si>
  <si>
    <t xml:space="preserve">MFA exigido para perfis administrativos</t>
  </si>
  <si>
    <t xml:space="preserve">CAP-005</t>
  </si>
  <si>
    <t xml:space="preserve">D1 — Identidade</t>
  </si>
  <si>
    <t xml:space="preserve">Identity</t>
  </si>
  <si>
    <t xml:space="preserve">Usuário</t>
  </si>
  <si>
    <t xml:space="preserve">AC-MVP-06</t>
  </si>
  <si>
    <t xml:space="preserve">DOC-001 §23</t>
  </si>
  <si>
    <t xml:space="preserve">COMP-001</t>
  </si>
  <si>
    <t xml:space="preserve">Conformidade</t>
  </si>
  <si>
    <t xml:space="preserve">Requisito regulatório registrado com norma, órgão, fonte oficial, data da consulta e vigência, distinguindo lei, regulamento, norma técnica e recomendação</t>
  </si>
  <si>
    <t xml:space="preserve">CAP-031</t>
  </si>
  <si>
    <t xml:space="preserve">D4 — Conformidade</t>
  </si>
  <si>
    <t xml:space="preserve">Compliance</t>
  </si>
  <si>
    <t xml:space="preserve">Requisito regulatório</t>
  </si>
  <si>
    <t xml:space="preserve">AC-MVP-10</t>
  </si>
  <si>
    <t xml:space="preserve">DOC-001 §24</t>
  </si>
  <si>
    <t xml:space="preserve">v0.2 — distinção de natureza acrescentada</t>
  </si>
  <si>
    <t xml:space="preserve">COMP-002</t>
  </si>
  <si>
    <t xml:space="preserve">Capacidade estrutural de parâmetros de medição: cadastrar parâmetro, unidade e faixa de referência; versionar; registrar fonte e vigência; associar a regra ou requisito regulatório. Valores regulatórios concretos NÃO são carregados sem validação jurídica, técnica e de fonte</t>
  </si>
  <si>
    <t xml:space="preserve">CAP-033</t>
  </si>
  <si>
    <t xml:space="preserve">Compliance / Measurements</t>
  </si>
  <si>
    <t xml:space="preserve">Parâmetro de medição</t>
  </si>
  <si>
    <t xml:space="preserve">AC-MVP-11</t>
  </si>
  <si>
    <t xml:space="preserve">MVP (estrutural)</t>
  </si>
  <si>
    <t xml:space="preserve">DOC-007 §3.1</t>
  </si>
  <si>
    <t xml:space="preserve">v0.2 — NOVO</t>
  </si>
  <si>
    <t xml:space="preserve">COMP-003</t>
  </si>
  <si>
    <t xml:space="preserve">Um PMOC emitido deve permitir determinar o estado de referência utilizado na emissão (inventário aplicável, versão do plano, versões das regras, referências regulatórias, responsável técnico e timestamp). Mecanismo a definir nas Fases 3 e 6</t>
  </si>
  <si>
    <t xml:space="preserve">CAP-037</t>
  </si>
  <si>
    <t xml:space="preserve">PMOC</t>
  </si>
  <si>
    <t xml:space="preserve">PMOC Version</t>
  </si>
  <si>
    <t xml:space="preserve">AC-MVP-02</t>
  </si>
  <si>
    <t xml:space="preserve">Bloqueado</t>
  </si>
  <si>
    <t xml:space="preserve">DOC-002 PP-13, OQ-020</t>
  </si>
  <si>
    <t xml:space="preserve">COMP-004</t>
  </si>
  <si>
    <t xml:space="preserve">Regras de aplicabilidade devem ser modeladas separadamente por objeto de regulação: Regra A (aplicabilidade do PMOC) e Regra B (exigência de responsável técnico). O limite de 5 TR / 60.000 BTU/h não pode ser usado automaticamente como condição única da Regra A</t>
  </si>
  <si>
    <t xml:space="preserve">CAP-035</t>
  </si>
  <si>
    <t xml:space="preserve">ApplicabilityRule</t>
  </si>
  <si>
    <t xml:space="preserve">Pós-MVP</t>
  </si>
  <si>
    <t xml:space="preserve">DOC-001 §5.3, OQ-021</t>
  </si>
  <si>
    <t xml:space="preserve">DATA-001</t>
  </si>
  <si>
    <t xml:space="preserve">Dados</t>
  </si>
  <si>
    <t xml:space="preserve">Todo recurso de negócio possui pertencimento inequívoco a um tenant. A representação física (coluna discriminadora, schema, database ou híbrido) é decisão do ADR-001 e NÃO está prescrita</t>
  </si>
  <si>
    <t xml:space="preserve">Tenancy</t>
  </si>
  <si>
    <t xml:space="preserve">DOC-001 §25, ADR-001</t>
  </si>
  <si>
    <t xml:space="preserve">v0.2 — reescrito: removida a prescrição de coluna TenantId</t>
  </si>
  <si>
    <t xml:space="preserve">OPS-001</t>
  </si>
  <si>
    <t xml:space="preserve">Operação</t>
  </si>
  <si>
    <t xml:space="preserve">Backup automatizado com restore testado antes do go-live</t>
  </si>
  <si>
    <t xml:space="preserve">Infraestrutura</t>
  </si>
  <si>
    <t xml:space="preserve">TST-OPS-### (a definir)</t>
  </si>
  <si>
    <t xml:space="preserve">AC-MVP-07</t>
  </si>
  <si>
    <t xml:space="preserve">UX-001</t>
  </si>
  <si>
    <t xml:space="preserve">Experiência</t>
  </si>
  <si>
    <t xml:space="preserve">Execução de OS em campo otimizada para uso com pressa, mãos ocupadas e luz variável</t>
  </si>
  <si>
    <t xml:space="preserve">CAP-050</t>
  </si>
  <si>
    <t xml:space="preserve">D6 — Campo</t>
  </si>
  <si>
    <t xml:space="preserve">Inspections</t>
  </si>
  <si>
    <t xml:space="preserve">OS</t>
  </si>
  <si>
    <t xml:space="preserve">DOC-005 PER-004</t>
  </si>
  <si>
    <t xml:space="preserve">FR-002</t>
  </si>
  <si>
    <t xml:space="preserve">Toda OS concluída satisfaz os requisitos obrigatórios de execução definidos para o seu tipo e para o template aplicável, incluindo checklist quando requerido</t>
  </si>
  <si>
    <t xml:space="preserve">CAP-045</t>
  </si>
  <si>
    <t xml:space="preserve">D5 — Programação e OS</t>
  </si>
  <si>
    <t xml:space="preserve">Work Orders</t>
  </si>
  <si>
    <t xml:space="preserve">AC-MVP-03</t>
  </si>
  <si>
    <t xml:space="preserve">DOC-007 §6</t>
  </si>
  <si>
    <t xml:space="preserve">NFR-002</t>
  </si>
  <si>
    <t xml:space="preserve">Toda operação de negócio ou operação server-side exposta pela interface possui contrato de API documentado e versionado quando aplicável. Comportamento estritamente local da interface não exige endpoint</t>
  </si>
  <si>
    <t xml:space="preserve">CAP-100</t>
  </si>
  <si>
    <t xml:space="preserve">Integrations</t>
  </si>
  <si>
    <t xml:space="preserve">OpenAPI</t>
  </si>
  <si>
    <t xml:space="preserve">AC-MVP-08</t>
  </si>
  <si>
    <t xml:space="preserve">DOC-001 §26, ADR-007</t>
  </si>
  <si>
    <t xml:space="preserve">BR-001</t>
  </si>
  <si>
    <t xml:space="preserve">Regra de negócio</t>
  </si>
  <si>
    <t xml:space="preserve">A definir com responsável técnico: periodicidade mínima por tipo de atividade de manutenção</t>
  </si>
  <si>
    <t xml:space="preserve">CAP-032</t>
  </si>
  <si>
    <t xml:space="preserve">Maintenance Plans</t>
  </si>
  <si>
    <t xml:space="preserve">MaintenanceRule</t>
  </si>
  <si>
    <t xml:space="preserve">OQ-004, ASM-011, DEP-002</t>
  </si>
  <si>
    <t xml:space="preserve">XLS-005 — Convenções de identificação</t>
  </si>
  <si>
    <t xml:space="preserve">Cada requisito possui identificador único e imutável. Identificador de requisito substituído NUNCA é reaproveitado para conceito diferente. | v0.2 DRAFT</t>
  </si>
  <si>
    <t xml:space="preserve">Prefixo</t>
  </si>
  <si>
    <t xml:space="preserve">Definição</t>
  </si>
  <si>
    <t xml:space="preserve">FR-###</t>
  </si>
  <si>
    <t xml:space="preserve">Requisito funcional</t>
  </si>
  <si>
    <t xml:space="preserve">Comportamento observável do sistema</t>
  </si>
  <si>
    <t xml:space="preserve">NFR-###</t>
  </si>
  <si>
    <t xml:space="preserve">Requisito não funcional</t>
  </si>
  <si>
    <t xml:space="preserve">Qualidade, desempenho, disponibilidade, manutenibilidade</t>
  </si>
  <si>
    <t xml:space="preserve">BR-###</t>
  </si>
  <si>
    <t xml:space="preserve">Regra do domínio ou do cliente da prestadora</t>
  </si>
  <si>
    <t xml:space="preserve">SEC-###</t>
  </si>
  <si>
    <t xml:space="preserve">Requisito de segurança</t>
  </si>
  <si>
    <t xml:space="preserve">Controle de segurança exigido</t>
  </si>
  <si>
    <t xml:space="preserve">COMP-###</t>
  </si>
  <si>
    <t xml:space="preserve">Requisito de conformidade</t>
  </si>
  <si>
    <t xml:space="preserve">Exigência regulatória ou normativa representada como dado</t>
  </si>
  <si>
    <t xml:space="preserve">DATA-###</t>
  </si>
  <si>
    <t xml:space="preserve">Requisito de dados</t>
  </si>
  <si>
    <t xml:space="preserve">Estrutura, retenção, qualidade e privacidade</t>
  </si>
  <si>
    <t xml:space="preserve">UX-###</t>
  </si>
  <si>
    <t xml:space="preserve">Requisito de experiência</t>
  </si>
  <si>
    <t xml:space="preserve">Usabilidade, acessibilidade, ergonomia</t>
  </si>
  <si>
    <t xml:space="preserve">OPS-###</t>
  </si>
  <si>
    <t xml:space="preserve">Requisito operacional</t>
  </si>
  <si>
    <t xml:space="preserve">Operação, backup, observabilidade, suporte</t>
  </si>
  <si>
    <t xml:space="preserve">XLS-005 — Cadeia de rastreabilidade exigida</t>
  </si>
  <si>
    <t xml:space="preserve">Requisito sem cadeia completa não atende à Definition of Done. O elo 'API' admite ausência justificada quando o comportamento for estritamente local da interface. | v0.2 DRAFT</t>
  </si>
  <si>
    <t xml:space="preserve">Ordem</t>
  </si>
  <si>
    <t xml:space="preserve">Elo</t>
  </si>
  <si>
    <t xml:space="preserve">Conteúdo esperado</t>
  </si>
  <si>
    <t xml:space="preserve">1</t>
  </si>
  <si>
    <t xml:space="preserve">Requisito</t>
  </si>
  <si>
    <t xml:space="preserve">ID único e descrição verificável</t>
  </si>
  <si>
    <t xml:space="preserve">2</t>
  </si>
  <si>
    <t xml:space="preserve">Regra que sustenta o requisito</t>
  </si>
  <si>
    <t xml:space="preserve">3</t>
  </si>
  <si>
    <t xml:space="preserve">Caso de uso</t>
  </si>
  <si>
    <t xml:space="preserve">Fluxo em que o requisito se manifesta</t>
  </si>
  <si>
    <t xml:space="preserve">4</t>
  </si>
  <si>
    <t xml:space="preserve">Componente/Módulo</t>
  </si>
  <si>
    <t xml:space="preserve">Onde é implementado</t>
  </si>
  <si>
    <t xml:space="preserve">5</t>
  </si>
  <si>
    <t xml:space="preserve">Contrato que o expõe, quando aplicável</t>
  </si>
  <si>
    <t xml:space="preserve">6</t>
  </si>
  <si>
    <t xml:space="preserve">Dados envolvidos</t>
  </si>
  <si>
    <t xml:space="preserve">7</t>
  </si>
  <si>
    <t xml:space="preserve">Teste que o verifica</t>
  </si>
  <si>
    <t xml:space="preserve">8</t>
  </si>
  <si>
    <t xml:space="preserve">Evidência de aceite</t>
  </si>
  <si>
    <t xml:space="preserve">Registro do aceite formal</t>
  </si>
  <si>
    <t xml:space="preserve">XLS-005 — Resumo (v0.2)</t>
  </si>
  <si>
    <t xml:space="preserve">Contagens calculadas sobre as linhas de dados (a linha de cabeçalho está na linha 4 e é excluída).</t>
  </si>
  <si>
    <t xml:space="preserve">Linhas semente na RTM</t>
  </si>
  <si>
    <t xml:space="preserve">Linhas bloqueadas</t>
  </si>
  <si>
    <t xml:space="preserve">Esperado — linhas semente</t>
  </si>
  <si>
    <t xml:space="preserve">Novas na v0.2</t>
  </si>
  <si>
    <t xml:space="preserve">Reescritas na v0.2</t>
  </si>
  <si>
    <t xml:space="preserve">Preenchimento completo</t>
  </si>
  <si>
    <t xml:space="preserve">Fase 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</si>
</sst>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1" min="10" style="0" width="18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6" min="1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</row>
    <row r="6" customFormat="false" ht="35.05" hidden="false" customHeight="false" outlineLevel="0" collapsed="false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42</v>
      </c>
      <c r="K6" s="5" t="s">
        <v>43</v>
      </c>
      <c r="L6" s="5" t="s">
        <v>44</v>
      </c>
      <c r="M6" s="5" t="s">
        <v>30</v>
      </c>
      <c r="N6" s="5" t="s">
        <v>31</v>
      </c>
      <c r="O6" s="5" t="s">
        <v>45</v>
      </c>
      <c r="P6" s="5" t="s">
        <v>46</v>
      </c>
    </row>
    <row r="7" customFormat="false" ht="23.85" hidden="false" customHeight="false" outlineLevel="0" collapsed="false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23</v>
      </c>
      <c r="G7" s="4" t="s">
        <v>24</v>
      </c>
      <c r="H7" s="4" t="s">
        <v>52</v>
      </c>
      <c r="I7" s="4" t="s">
        <v>26</v>
      </c>
      <c r="J7" s="4" t="s">
        <v>53</v>
      </c>
      <c r="K7" s="4" t="s">
        <v>43</v>
      </c>
      <c r="L7" s="4" t="s">
        <v>54</v>
      </c>
      <c r="M7" s="4" t="s">
        <v>30</v>
      </c>
      <c r="N7" s="4" t="s">
        <v>31</v>
      </c>
      <c r="O7" s="4" t="s">
        <v>55</v>
      </c>
      <c r="P7" s="4" t="s">
        <v>33</v>
      </c>
    </row>
    <row r="8" customFormat="false" ht="35.05" hidden="false" customHeight="false" outlineLevel="0" collapsed="false">
      <c r="A8" s="5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23</v>
      </c>
      <c r="G8" s="5" t="s">
        <v>24</v>
      </c>
      <c r="H8" s="5" t="s">
        <v>61</v>
      </c>
      <c r="I8" s="5" t="s">
        <v>26</v>
      </c>
      <c r="J8" s="5" t="s">
        <v>62</v>
      </c>
      <c r="K8" s="5" t="s">
        <v>28</v>
      </c>
      <c r="L8" s="5" t="s">
        <v>63</v>
      </c>
      <c r="M8" s="5" t="s">
        <v>30</v>
      </c>
      <c r="N8" s="5" t="s">
        <v>31</v>
      </c>
      <c r="O8" s="5" t="s">
        <v>64</v>
      </c>
      <c r="P8" s="5" t="s">
        <v>65</v>
      </c>
    </row>
    <row r="9" customFormat="false" ht="57.45" hidden="false" customHeight="false" outlineLevel="0" collapsed="false">
      <c r="A9" s="5" t="s">
        <v>66</v>
      </c>
      <c r="B9" s="5" t="s">
        <v>57</v>
      </c>
      <c r="C9" s="5" t="s">
        <v>67</v>
      </c>
      <c r="D9" s="5" t="s">
        <v>68</v>
      </c>
      <c r="E9" s="5" t="s">
        <v>60</v>
      </c>
      <c r="F9" s="5" t="s">
        <v>23</v>
      </c>
      <c r="G9" s="5" t="s">
        <v>24</v>
      </c>
      <c r="H9" s="5" t="s">
        <v>69</v>
      </c>
      <c r="I9" s="5" t="s">
        <v>26</v>
      </c>
      <c r="J9" s="5" t="s">
        <v>70</v>
      </c>
      <c r="K9" s="5" t="s">
        <v>28</v>
      </c>
      <c r="L9" s="5" t="s">
        <v>71</v>
      </c>
      <c r="M9" s="5" t="s">
        <v>72</v>
      </c>
      <c r="N9" s="5" t="s">
        <v>31</v>
      </c>
      <c r="O9" s="5" t="s">
        <v>73</v>
      </c>
      <c r="P9" s="5" t="s">
        <v>74</v>
      </c>
    </row>
    <row r="10" customFormat="false" ht="46.25" hidden="false" customHeight="false" outlineLevel="0" collapsed="false">
      <c r="A10" s="5" t="s">
        <v>75</v>
      </c>
      <c r="B10" s="5" t="s">
        <v>57</v>
      </c>
      <c r="C10" s="5" t="s">
        <v>76</v>
      </c>
      <c r="D10" s="5" t="s">
        <v>77</v>
      </c>
      <c r="E10" s="5" t="s">
        <v>60</v>
      </c>
      <c r="F10" s="5" t="s">
        <v>23</v>
      </c>
      <c r="G10" s="5" t="s">
        <v>24</v>
      </c>
      <c r="H10" s="5" t="s">
        <v>78</v>
      </c>
      <c r="I10" s="5" t="s">
        <v>26</v>
      </c>
      <c r="J10" s="5" t="s">
        <v>79</v>
      </c>
      <c r="K10" s="5" t="s">
        <v>28</v>
      </c>
      <c r="L10" s="5" t="s">
        <v>80</v>
      </c>
      <c r="M10" s="5" t="s">
        <v>30</v>
      </c>
      <c r="N10" s="5" t="s">
        <v>81</v>
      </c>
      <c r="O10" s="5" t="s">
        <v>82</v>
      </c>
      <c r="P10" s="5" t="s">
        <v>74</v>
      </c>
    </row>
    <row r="11" customFormat="false" ht="57.45" hidden="false" customHeight="false" outlineLevel="0" collapsed="false">
      <c r="A11" s="5" t="s">
        <v>83</v>
      </c>
      <c r="B11" s="5" t="s">
        <v>57</v>
      </c>
      <c r="C11" s="5" t="s">
        <v>84</v>
      </c>
      <c r="D11" s="5" t="s">
        <v>85</v>
      </c>
      <c r="E11" s="5" t="s">
        <v>60</v>
      </c>
      <c r="F11" s="5" t="s">
        <v>23</v>
      </c>
      <c r="G11" s="5" t="s">
        <v>24</v>
      </c>
      <c r="H11" s="5" t="s">
        <v>61</v>
      </c>
      <c r="I11" s="5" t="s">
        <v>26</v>
      </c>
      <c r="J11" s="5" t="s">
        <v>86</v>
      </c>
      <c r="K11" s="5" t="s">
        <v>28</v>
      </c>
      <c r="L11" s="5" t="s">
        <v>40</v>
      </c>
      <c r="M11" s="5" t="s">
        <v>87</v>
      </c>
      <c r="N11" s="5" t="s">
        <v>81</v>
      </c>
      <c r="O11" s="5" t="s">
        <v>88</v>
      </c>
      <c r="P11" s="5" t="s">
        <v>74</v>
      </c>
    </row>
    <row r="12" customFormat="false" ht="46.25" hidden="false" customHeight="false" outlineLevel="0" collapsed="false">
      <c r="A12" s="5" t="s">
        <v>89</v>
      </c>
      <c r="B12" s="5" t="s">
        <v>90</v>
      </c>
      <c r="C12" s="5" t="s">
        <v>91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92</v>
      </c>
      <c r="I12" s="5" t="s">
        <v>42</v>
      </c>
      <c r="J12" s="5" t="s">
        <v>42</v>
      </c>
      <c r="K12" s="5" t="s">
        <v>28</v>
      </c>
      <c r="L12" s="5" t="s">
        <v>44</v>
      </c>
      <c r="M12" s="5" t="s">
        <v>30</v>
      </c>
      <c r="N12" s="5" t="s">
        <v>31</v>
      </c>
      <c r="O12" s="5" t="s">
        <v>93</v>
      </c>
      <c r="P12" s="5" t="s">
        <v>94</v>
      </c>
    </row>
    <row r="13" customFormat="false" ht="23.85" hidden="false" customHeight="false" outlineLevel="0" collapsed="false">
      <c r="A13" s="4" t="s">
        <v>95</v>
      </c>
      <c r="B13" s="4" t="s">
        <v>96</v>
      </c>
      <c r="C13" s="4" t="s">
        <v>97</v>
      </c>
      <c r="D13" s="4" t="s">
        <v>37</v>
      </c>
      <c r="E13" s="4" t="s">
        <v>38</v>
      </c>
      <c r="F13" s="4" t="s">
        <v>40</v>
      </c>
      <c r="G13" s="4" t="s">
        <v>40</v>
      </c>
      <c r="H13" s="4" t="s">
        <v>98</v>
      </c>
      <c r="I13" s="4" t="s">
        <v>40</v>
      </c>
      <c r="J13" s="4" t="s">
        <v>40</v>
      </c>
      <c r="K13" s="4" t="s">
        <v>99</v>
      </c>
      <c r="L13" s="4" t="s">
        <v>100</v>
      </c>
      <c r="M13" s="4" t="s">
        <v>30</v>
      </c>
      <c r="N13" s="4" t="s">
        <v>31</v>
      </c>
      <c r="O13" s="4" t="s">
        <v>45</v>
      </c>
      <c r="P13" s="4" t="s">
        <v>33</v>
      </c>
    </row>
    <row r="14" customFormat="false" ht="23.85" hidden="false" customHeight="false" outlineLevel="0" collapsed="false">
      <c r="A14" s="4" t="s">
        <v>101</v>
      </c>
      <c r="B14" s="4" t="s">
        <v>102</v>
      </c>
      <c r="C14" s="4" t="s">
        <v>103</v>
      </c>
      <c r="D14" s="4" t="s">
        <v>104</v>
      </c>
      <c r="E14" s="4" t="s">
        <v>105</v>
      </c>
      <c r="F14" s="4" t="s">
        <v>23</v>
      </c>
      <c r="G14" s="4" t="s">
        <v>24</v>
      </c>
      <c r="H14" s="4" t="s">
        <v>106</v>
      </c>
      <c r="I14" s="4" t="s">
        <v>26</v>
      </c>
      <c r="J14" s="4" t="s">
        <v>107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108</v>
      </c>
      <c r="P14" s="4" t="s">
        <v>33</v>
      </c>
    </row>
    <row r="15" customFormat="false" ht="35.05" hidden="false" customHeight="false" outlineLevel="0" collapsed="false">
      <c r="A15" s="5" t="s">
        <v>109</v>
      </c>
      <c r="B15" s="5" t="s">
        <v>19</v>
      </c>
      <c r="C15" s="5" t="s">
        <v>110</v>
      </c>
      <c r="D15" s="5" t="s">
        <v>111</v>
      </c>
      <c r="E15" s="5" t="s">
        <v>112</v>
      </c>
      <c r="F15" s="5" t="s">
        <v>23</v>
      </c>
      <c r="G15" s="5" t="s">
        <v>24</v>
      </c>
      <c r="H15" s="5" t="s">
        <v>113</v>
      </c>
      <c r="I15" s="5" t="s">
        <v>26</v>
      </c>
      <c r="J15" s="5" t="s">
        <v>107</v>
      </c>
      <c r="K15" s="5" t="s">
        <v>28</v>
      </c>
      <c r="L15" s="5" t="s">
        <v>114</v>
      </c>
      <c r="M15" s="5" t="s">
        <v>30</v>
      </c>
      <c r="N15" s="5" t="s">
        <v>31</v>
      </c>
      <c r="O15" s="5" t="s">
        <v>115</v>
      </c>
      <c r="P15" s="5" t="s">
        <v>74</v>
      </c>
    </row>
    <row r="16" customFormat="false" ht="46.25" hidden="false" customHeight="false" outlineLevel="0" collapsed="false">
      <c r="A16" s="5" t="s">
        <v>116</v>
      </c>
      <c r="B16" s="5" t="s">
        <v>35</v>
      </c>
      <c r="C16" s="5" t="s">
        <v>117</v>
      </c>
      <c r="D16" s="5" t="s">
        <v>118</v>
      </c>
      <c r="E16" s="5" t="s">
        <v>38</v>
      </c>
      <c r="F16" s="5" t="s">
        <v>39</v>
      </c>
      <c r="G16" s="5" t="s">
        <v>40</v>
      </c>
      <c r="H16" s="5" t="s">
        <v>119</v>
      </c>
      <c r="I16" s="5" t="s">
        <v>120</v>
      </c>
      <c r="J16" s="5" t="s">
        <v>40</v>
      </c>
      <c r="K16" s="5" t="s">
        <v>28</v>
      </c>
      <c r="L16" s="5" t="s">
        <v>121</v>
      </c>
      <c r="M16" s="5" t="s">
        <v>30</v>
      </c>
      <c r="N16" s="5" t="s">
        <v>31</v>
      </c>
      <c r="O16" s="5" t="s">
        <v>122</v>
      </c>
      <c r="P16" s="5" t="s">
        <v>74</v>
      </c>
    </row>
    <row r="17" customFormat="false" ht="23.85" hidden="false" customHeight="false" outlineLevel="0" collapsed="false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60</v>
      </c>
      <c r="F17" s="4" t="s">
        <v>40</v>
      </c>
      <c r="G17" s="4" t="s">
        <v>24</v>
      </c>
      <c r="H17" s="4" t="s">
        <v>127</v>
      </c>
      <c r="I17" s="4" t="s">
        <v>26</v>
      </c>
      <c r="J17" s="4" t="s">
        <v>128</v>
      </c>
      <c r="K17" s="4" t="s">
        <v>28</v>
      </c>
      <c r="L17" s="4" t="s">
        <v>40</v>
      </c>
      <c r="M17" s="4" t="s">
        <v>72</v>
      </c>
      <c r="N17" s="4" t="s">
        <v>81</v>
      </c>
      <c r="O17" s="4" t="s">
        <v>129</v>
      </c>
      <c r="P17" s="4" t="s">
        <v>33</v>
      </c>
    </row>
  </sheetData>
  <autoFilter ref="A4:P17"/>
  <dataValidations count="2">
    <dataValidation allowBlank="true" errorStyle="stop" operator="between" showDropDown="false" showErrorMessage="false" showInputMessage="false" sqref="N5:N17" type="list">
      <formula1>"Rascunho,Em análise,Aprovado,Implementado,Testado,Aceito,Bloqueado"</formula1>
      <formula2>0</formula2>
    </dataValidation>
    <dataValidation allowBlank="true" errorStyle="stop" operator="between" showDropDown="false" showErrorMessage="false" showInputMessage="false" sqref="M5:M17" type="list">
      <formula1>"MVP,MVP (estrutural),Pós-MVP,Futuro,Fora de escopo atual,A validar"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30" hidden="false" customHeight="true" outlineLevel="0" collapsed="false">
      <c r="A4" s="3" t="s">
        <v>132</v>
      </c>
      <c r="B4" s="3" t="s">
        <v>3</v>
      </c>
      <c r="C4" s="3" t="s">
        <v>133</v>
      </c>
    </row>
    <row r="5" customFormat="false" ht="15" hidden="false" customHeight="false" outlineLevel="0" collapsed="false">
      <c r="A5" s="4" t="s">
        <v>134</v>
      </c>
      <c r="B5" s="4" t="s">
        <v>135</v>
      </c>
      <c r="C5" s="4" t="s">
        <v>136</v>
      </c>
    </row>
    <row r="6" customFormat="false" ht="15" hidden="false" customHeight="false" outlineLevel="0" collapsed="false">
      <c r="A6" s="4" t="s">
        <v>137</v>
      </c>
      <c r="B6" s="4" t="s">
        <v>138</v>
      </c>
      <c r="C6" s="4" t="s">
        <v>139</v>
      </c>
    </row>
    <row r="7" customFormat="false" ht="15" hidden="false" customHeight="false" outlineLevel="0" collapsed="false">
      <c r="A7" s="4" t="s">
        <v>140</v>
      </c>
      <c r="B7" s="4" t="s">
        <v>124</v>
      </c>
      <c r="C7" s="4" t="s">
        <v>141</v>
      </c>
    </row>
    <row r="8" customFormat="false" ht="15" hidden="false" customHeight="false" outlineLevel="0" collapsed="false">
      <c r="A8" s="4" t="s">
        <v>142</v>
      </c>
      <c r="B8" s="4" t="s">
        <v>143</v>
      </c>
      <c r="C8" s="4" t="s">
        <v>144</v>
      </c>
    </row>
    <row r="9" customFormat="false" ht="15" hidden="false" customHeight="false" outlineLevel="0" collapsed="false">
      <c r="A9" s="4" t="s">
        <v>145</v>
      </c>
      <c r="B9" s="4" t="s">
        <v>146</v>
      </c>
      <c r="C9" s="4" t="s">
        <v>147</v>
      </c>
    </row>
    <row r="10" customFormat="false" ht="15" hidden="false" customHeight="false" outlineLevel="0" collapsed="false">
      <c r="A10" s="4" t="s">
        <v>148</v>
      </c>
      <c r="B10" s="4" t="s">
        <v>149</v>
      </c>
      <c r="C10" s="4" t="s">
        <v>150</v>
      </c>
    </row>
    <row r="11" customFormat="false" ht="15" hidden="false" customHeight="false" outlineLevel="0" collapsed="false">
      <c r="A11" s="4" t="s">
        <v>151</v>
      </c>
      <c r="B11" s="4" t="s">
        <v>152</v>
      </c>
      <c r="C11" s="4" t="s">
        <v>153</v>
      </c>
    </row>
    <row r="12" customFormat="false" ht="15" hidden="false" customHeight="false" outlineLevel="0" collapsed="false">
      <c r="A12" s="4" t="s">
        <v>154</v>
      </c>
      <c r="B12" s="4" t="s">
        <v>155</v>
      </c>
      <c r="C12" s="4" t="s">
        <v>156</v>
      </c>
    </row>
  </sheetData>
  <autoFilter ref="A4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30" hidden="false" customHeight="true" outlineLevel="0" collapsed="false">
      <c r="A4" s="3" t="s">
        <v>159</v>
      </c>
      <c r="B4" s="3" t="s">
        <v>160</v>
      </c>
      <c r="C4" s="3" t="s">
        <v>161</v>
      </c>
    </row>
    <row r="5" customFormat="false" ht="15" hidden="false" customHeight="false" outlineLevel="0" collapsed="false">
      <c r="A5" s="4" t="s">
        <v>162</v>
      </c>
      <c r="B5" s="4" t="s">
        <v>163</v>
      </c>
      <c r="C5" s="4" t="s">
        <v>164</v>
      </c>
    </row>
    <row r="6" customFormat="false" ht="15" hidden="false" customHeight="false" outlineLevel="0" collapsed="false">
      <c r="A6" s="4" t="s">
        <v>165</v>
      </c>
      <c r="B6" s="4" t="s">
        <v>124</v>
      </c>
      <c r="C6" s="4" t="s">
        <v>166</v>
      </c>
    </row>
    <row r="7" customFormat="false" ht="15" hidden="false" customHeight="false" outlineLevel="0" collapsed="false">
      <c r="A7" s="4" t="s">
        <v>167</v>
      </c>
      <c r="B7" s="4" t="s">
        <v>168</v>
      </c>
      <c r="C7" s="4" t="s">
        <v>169</v>
      </c>
    </row>
    <row r="8" customFormat="false" ht="15" hidden="false" customHeight="false" outlineLevel="0" collapsed="false">
      <c r="A8" s="4" t="s">
        <v>170</v>
      </c>
      <c r="B8" s="4" t="s">
        <v>171</v>
      </c>
      <c r="C8" s="4" t="s">
        <v>172</v>
      </c>
    </row>
    <row r="9" customFormat="false" ht="15" hidden="false" customHeight="false" outlineLevel="0" collapsed="false">
      <c r="A9" s="4" t="s">
        <v>173</v>
      </c>
      <c r="B9" s="4" t="s">
        <v>10</v>
      </c>
      <c r="C9" s="4" t="s">
        <v>174</v>
      </c>
    </row>
    <row r="10" customFormat="false" ht="15" hidden="false" customHeight="false" outlineLevel="0" collapsed="false">
      <c r="A10" s="4" t="s">
        <v>175</v>
      </c>
      <c r="B10" s="4" t="s">
        <v>11</v>
      </c>
      <c r="C10" s="4" t="s">
        <v>176</v>
      </c>
    </row>
    <row r="11" customFormat="false" ht="15" hidden="false" customHeight="false" outlineLevel="0" collapsed="false">
      <c r="A11" s="4" t="s">
        <v>177</v>
      </c>
      <c r="B11" s="4" t="s">
        <v>12</v>
      </c>
      <c r="C11" s="4" t="s">
        <v>178</v>
      </c>
    </row>
    <row r="12" customFormat="false" ht="15" hidden="false" customHeight="false" outlineLevel="0" collapsed="false">
      <c r="A12" s="4" t="s">
        <v>179</v>
      </c>
      <c r="B12" s="4" t="s">
        <v>180</v>
      </c>
      <c r="C12" s="4" t="s">
        <v>181</v>
      </c>
    </row>
  </sheetData>
  <autoFilter ref="A4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A4" s="6" t="s">
        <v>184</v>
      </c>
      <c r="B4" s="6" t="n">
        <f aca="false">COUNTA(RTM!A5:A200)</f>
        <v>13</v>
      </c>
    </row>
    <row r="5" customFormat="false" ht="15" hidden="false" customHeight="false" outlineLevel="0" collapsed="false">
      <c r="A5" s="6" t="s">
        <v>185</v>
      </c>
      <c r="B5" s="6" t="n">
        <f aca="false">COUNTIF(RTM!N5:N200,"Bloqueado")</f>
        <v>3</v>
      </c>
    </row>
    <row r="6" customFormat="false" ht="15" hidden="false" customHeight="false" outlineLevel="0" collapsed="false">
      <c r="A6" s="6"/>
      <c r="B6" s="6"/>
    </row>
    <row r="7" customFormat="false" ht="15" hidden="false" customHeight="false" outlineLevel="0" collapsed="false">
      <c r="A7" s="6" t="s">
        <v>186</v>
      </c>
      <c r="B7" s="6" t="n">
        <v>13</v>
      </c>
    </row>
    <row r="8" customFormat="false" ht="15" hidden="false" customHeight="false" outlineLevel="0" collapsed="false">
      <c r="A8" s="6" t="s">
        <v>187</v>
      </c>
      <c r="B8" s="6" t="n">
        <v>5</v>
      </c>
    </row>
    <row r="9" customFormat="false" ht="15" hidden="false" customHeight="false" outlineLevel="0" collapsed="false">
      <c r="A9" s="6" t="s">
        <v>188</v>
      </c>
      <c r="B9" s="6" t="n">
        <v>3</v>
      </c>
    </row>
    <row r="10" customFormat="false" ht="15" hidden="false" customHeight="false" outlineLevel="0" collapsed="false">
      <c r="A10" s="6" t="s">
        <v>189</v>
      </c>
      <c r="B10" s="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2026-09-22T20:35:46.5349367Z</dcterms:created>
  <dc:creator>MACIEL LIMA DE JESUS, ALAN</dc:creator>
  <dc:description/>
  <dc:language>en-US</dc:language>
  <lastModifiedBy>MACIEL LIMA DE JESUS, ALAN</lastModifiedBy>
  <dcterms:modified xsi:type="dcterms:W3CDTF">2026-09-22T20:35:46.5349367Z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