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ssumptions" sheetId="1" state="visible" r:id="rId3"/>
    <sheet name="Constraints" sheetId="2" state="visible" r:id="rId4"/>
    <sheet name="Dependencies" sheetId="3" state="visible" r:id="rId5"/>
    <sheet name="Summary" sheetId="4" state="visible" r:id="rId6"/>
  </sheets>
  <definedNames>
    <definedName function="false" hidden="true" localSheetId="0" name="_xlnm._FilterDatabase" vbProcedure="false">Assumptions!$A$4:$I$16</definedName>
    <definedName function="false" hidden="true" localSheetId="1" name="_xlnm._FilterDatabase" vbProcedure="false">Constraints!$A$4:$F$16</definedName>
    <definedName function="false" hidden="true" localSheetId="2" name="_xlnm._FilterDatabase" vbProcedure="false">Dependencies!$A$4:$G$14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<sst xmlns="http://schemas.openxmlformats.org/spreadsheetml/2006/main" count="288" uniqueCount="191">
  <si>
    <t xml:space="preserve">XLS-001 — Assumptions, Constraints and Dependencies Register</t>
  </si>
  <si>
    <t xml:space="preserve">PMOC Software | Fase 1 | v0.2 DRAFT | 22/09/2026 | Origem das alterações: Services.NET Phase 1 Audit — Approved | Status: aguardando segunda revisão formal da Services.NET | Hipótese NÃO é requisito confirmado.</t>
  </si>
  <si>
    <t xml:space="preserve">ID</t>
  </si>
  <si>
    <t xml:space="preserve">Categoria</t>
  </si>
  <si>
    <t xml:space="preserve">Hipótese assumida</t>
  </si>
  <si>
    <t xml:space="preserve">Impacto se falsa</t>
  </si>
  <si>
    <t xml:space="preserve">Autoridade de validação</t>
  </si>
  <si>
    <t xml:space="preserve">Status</t>
  </si>
  <si>
    <t xml:space="preserve">Prazo de validação</t>
  </si>
  <si>
    <t xml:space="preserve">Referência</t>
  </si>
  <si>
    <t xml:space="preserve">Alterada em</t>
  </si>
  <si>
    <t xml:space="preserve">ASM-001</t>
  </si>
  <si>
    <t xml:space="preserve">Produto</t>
  </si>
  <si>
    <t xml:space="preserve">Existe um cliente-piloto (empresa prestadora de climatização) disponível para validar requisitos e operar o MVP</t>
  </si>
  <si>
    <t xml:space="preserve">Alto — sem piloto, requisitos da Fase 2 seriam presumidos</t>
  </si>
  <si>
    <t xml:space="preserve">Product Owner (STK-002)</t>
  </si>
  <si>
    <t xml:space="preserve">Aberta</t>
  </si>
  <si>
    <t xml:space="preserve">Fase 2</t>
  </si>
  <si>
    <t xml:space="preserve">OQ-010</t>
  </si>
  <si>
    <t xml:space="preserve">v0.1</t>
  </si>
  <si>
    <t xml:space="preserve">ASM-002</t>
  </si>
  <si>
    <t xml:space="preserve">Operação</t>
  </si>
  <si>
    <t xml:space="preserve">A Services.NET opera a plataforma SaaS e responde por disponibilidade e SLA</t>
  </si>
  <si>
    <t xml:space="preserve">Alto — define responsabilidades de infraestrutura e contrato</t>
  </si>
  <si>
    <t xml:space="preserve">Patrocinador (STK-001)</t>
  </si>
  <si>
    <t xml:space="preserve">Fase 1</t>
  </si>
  <si>
    <t xml:space="preserve">OQ-011</t>
  </si>
  <si>
    <t xml:space="preserve">ASM-003</t>
  </si>
  <si>
    <t xml:space="preserve">Negócio</t>
  </si>
  <si>
    <t xml:space="preserve">O cenário atual do mercado-alvo é baseado em planilhas e documentos avulsos</t>
  </si>
  <si>
    <t xml:space="preserve">Médio — sustenta a proposta de valor</t>
  </si>
  <si>
    <t xml:space="preserve">—</t>
  </si>
  <si>
    <t xml:space="preserve">ASM-004</t>
  </si>
  <si>
    <t xml:space="preserve">Técnica</t>
  </si>
  <si>
    <t xml:space="preserve">Há conectividade suficiente para uso Web no campo durante o MVP</t>
  </si>
  <si>
    <t xml:space="preserve">Alto — se falso, antecipa PWA/offline para W1</t>
  </si>
  <si>
    <t xml:space="preserve">Architect (STK-003)</t>
  </si>
  <si>
    <t xml:space="preserve">RSK-013</t>
  </si>
  <si>
    <t xml:space="preserve">ASM-005</t>
  </si>
  <si>
    <t xml:space="preserve">Regulatória</t>
  </si>
  <si>
    <t xml:space="preserve">A jurisdição inicial é exclusivamente Brasil</t>
  </si>
  <si>
    <t xml:space="preserve">Alto — define o modelo regulatório inicial</t>
  </si>
  <si>
    <t xml:space="preserve">Jurídico (STK-007)</t>
  </si>
  <si>
    <t xml:space="preserve">ASM-006</t>
  </si>
  <si>
    <t xml:space="preserve">Privacidade</t>
  </si>
  <si>
    <t xml:space="preserve">Os dados pessoais tratados limitam-se a contexto profissional e de contato</t>
  </si>
  <si>
    <t xml:space="preserve">Alto — afeta inventário de dados e bases legais</t>
  </si>
  <si>
    <t xml:space="preserve">DPO (STK-021)</t>
  </si>
  <si>
    <t xml:space="preserve">OQ-015</t>
  </si>
  <si>
    <t xml:space="preserve">v0.2 — responsável alterado de Jurídico/DPO para DPO</t>
  </si>
  <si>
    <t xml:space="preserve">ASM-007</t>
  </si>
  <si>
    <t xml:space="preserve">Arquitetura</t>
  </si>
  <si>
    <t xml:space="preserve">O MVP terá um tenant em produção, sem que isso dispense multi-tenancy</t>
  </si>
  <si>
    <t xml:space="preserve">Médio — afeta prioridade do ADR-001</t>
  </si>
  <si>
    <t xml:space="preserve">Fase 5</t>
  </si>
  <si>
    <t xml:space="preserve">ADR-001</t>
  </si>
  <si>
    <t xml:space="preserve">ASM-008</t>
  </si>
  <si>
    <t xml:space="preserve">A prestadora possui responsável técnico habilitado; a plataforma não substitui essa responsabilidade</t>
  </si>
  <si>
    <t xml:space="preserve">Alto — limita responsabilidade do produto</t>
  </si>
  <si>
    <t xml:space="preserve">ASM-009</t>
  </si>
  <si>
    <t xml:space="preserve">UX</t>
  </si>
  <si>
    <t xml:space="preserve">As personas do DOC-005 refletem os papéis reais do piloto</t>
  </si>
  <si>
    <t xml:space="preserve">Médio — direciona UX do MVP</t>
  </si>
  <si>
    <t xml:space="preserve">OQ-009</t>
  </si>
  <si>
    <t xml:space="preserve">ASM-010</t>
  </si>
  <si>
    <t xml:space="preserve">Equipamento é a menor unidade de inventário necessária ao MVP (componente é Pós-MVP)</t>
  </si>
  <si>
    <t xml:space="preserve">Médio — afeta modelo de domínio e checklists</t>
  </si>
  <si>
    <t xml:space="preserve">Resp. técnico (STK-012)</t>
  </si>
  <si>
    <t xml:space="preserve">OQ-018</t>
  </si>
  <si>
    <t xml:space="preserve">ASM-011</t>
  </si>
  <si>
    <t xml:space="preserve">Conformidade</t>
  </si>
  <si>
    <t xml:space="preserve">Periodicidades e parâmetros de manutenção serão fornecidos por responsável técnico habilitado, e não arbitrados pela engenharia</t>
  </si>
  <si>
    <t xml:space="preserve">Alto — a engenharia não determina regra técnica</t>
  </si>
  <si>
    <t xml:space="preserve">OQ-004</t>
  </si>
  <si>
    <t xml:space="preserve">ASM-012</t>
  </si>
  <si>
    <t xml:space="preserve">A plataforma precisará registrar alguma forma de manifestação de vontade do responsável no local. **O nível exigido (aceite, assinatura simples, avançada, qualificada, ICP-Brasil ou provedor externo) NÃO é assumido.**</t>
  </si>
  <si>
    <t xml:space="preserve">Alto — afeta valor probatório, UX da OS e arquitetura</t>
  </si>
  <si>
    <t xml:space="preserve">Jurídico (STK-007), consultado o DPO (STK-021)</t>
  </si>
  <si>
    <t xml:space="preserve">OQ-006, CAP-054</t>
  </si>
  <si>
    <t xml:space="preserve">v0.2 — reformulada: deixou de assumir assinatura simples em tela</t>
  </si>
  <si>
    <t xml:space="preserve">XLS-001 — Constraints</t>
  </si>
  <si>
    <t xml:space="preserve">Restrições que limitam decisões de produto e arquitetura. | v0.2 DRAFT | 22/09/2026</t>
  </si>
  <si>
    <t xml:space="preserve">Restrição</t>
  </si>
  <si>
    <t xml:space="preserve">Origem</t>
  </si>
  <si>
    <t xml:space="preserve">Rigidez</t>
  </si>
  <si>
    <t xml:space="preserve">CON-001</t>
  </si>
  <si>
    <t xml:space="preserve">Governança</t>
  </si>
  <si>
    <t xml:space="preserve">Nenhuma escolha tecnológica é definitiva antes de ADR aprovado</t>
  </si>
  <si>
    <t xml:space="preserve">Master Specification §11</t>
  </si>
  <si>
    <t xml:space="preserve">Alta</t>
  </si>
  <si>
    <t xml:space="preserve">CON-002</t>
  </si>
  <si>
    <t xml:space="preserve">O MVP deve ser utilizável por navegador (Web First)</t>
  </si>
  <si>
    <t xml:space="preserve">Master Specification §7</t>
  </si>
  <si>
    <t xml:space="preserve">CON-003</t>
  </si>
  <si>
    <t xml:space="preserve">Arquitetura API First e multi-tenant desde a concepção</t>
  </si>
  <si>
    <t xml:space="preserve">Master Specification §6 e §12</t>
  </si>
  <si>
    <t xml:space="preserve">CON-004</t>
  </si>
  <si>
    <t xml:space="preserve">Legal</t>
  </si>
  <si>
    <t xml:space="preserve">Normas técnicas protegidas por direito autoral — incluindo a ABNT NBR 17037 — não podem ser reproduzidas integralmente; apenas referenciadas</t>
  </si>
  <si>
    <t xml:space="preserve">Master Specification §8</t>
  </si>
  <si>
    <t xml:space="preserve">v0.2 — norma específica citada</t>
  </si>
  <si>
    <t xml:space="preserve">CON-005</t>
  </si>
  <si>
    <t xml:space="preserve">Interpretação normativa e vigência exigem validação do Jurídico (STK-007); bases legais da LGPD exigem validação do DPO (STK-021)</t>
  </si>
  <si>
    <t xml:space="preserve">Master Specification §16</t>
  </si>
  <si>
    <t xml:space="preserve">v0.2 — autoridades separadas</t>
  </si>
  <si>
    <t xml:space="preserve">CON-006</t>
  </si>
  <si>
    <t xml:space="preserve">Microsserviço exige justificativa objetiva; preferência por Modular Monolith</t>
  </si>
  <si>
    <t xml:space="preserve">Master Specification §10</t>
  </si>
  <si>
    <t xml:space="preserve">Média</t>
  </si>
  <si>
    <t xml:space="preserve">CON-007</t>
  </si>
  <si>
    <t xml:space="preserve">Segurança</t>
  </si>
  <si>
    <t xml:space="preserve">Identificadores sequenciais não podem ser expostos externamente sem avaliação</t>
  </si>
  <si>
    <t xml:space="preserve">Master Specification §13</t>
  </si>
  <si>
    <t xml:space="preserve">CON-008</t>
  </si>
  <si>
    <t xml:space="preserve">Processo</t>
  </si>
  <si>
    <t xml:space="preserve">Nenhuma fase avança sem decisões, dúvidas, riscos, dependências, pendências e critérios de aceite registrados</t>
  </si>
  <si>
    <t xml:space="preserve">Master Specification §17</t>
  </si>
  <si>
    <t xml:space="preserve">CON-009</t>
  </si>
  <si>
    <t xml:space="preserve">Planejamento</t>
  </si>
  <si>
    <t xml:space="preserve">Equipe, orçamento e prazo não informados; roadmap sem datas</t>
  </si>
  <si>
    <t xml:space="preserve">CON-010</t>
  </si>
  <si>
    <t xml:space="preserve">Documental</t>
  </si>
  <si>
    <t xml:space="preserve">Cada informação possui uma única fonte autoritativa. Overview_Project.md é REFERENCE / NON-AUTHORITATIVE</t>
  </si>
  <si>
    <t xml:space="preserve">Master Specification §21</t>
  </si>
  <si>
    <t xml:space="preserve">v0.2 — status do Overview_Project.md explicitado</t>
  </si>
  <si>
    <t xml:space="preserve">CON-011</t>
  </si>
  <si>
    <t xml:space="preserve">Compliance</t>
  </si>
  <si>
    <t xml:space="preserve">Requisitos regulatórios, periodicidades e parâmetros não podem residir em código; e valores regulatórios concretos não podem ser carregados sem validação jurídica, técnica e de fonte</t>
  </si>
  <si>
    <t xml:space="preserve">Master Specification §9</t>
  </si>
  <si>
    <t xml:space="preserve">v0.2 — restrição de conteúdo acrescentada</t>
  </si>
  <si>
    <t xml:space="preserve">CON-012</t>
  </si>
  <si>
    <t xml:space="preserve">Agentes de IA não alteram decisão estruturante sem ADR e aprovação</t>
  </si>
  <si>
    <t xml:space="preserve">Master Specification §22</t>
  </si>
  <si>
    <t xml:space="preserve">XLS-001 — Dependencies</t>
  </si>
  <si>
    <t xml:space="preserve">Dependências externas, de cliente e internas. | v0.2 DRAFT | 22/09/2026</t>
  </si>
  <si>
    <t xml:space="preserve">Tipo</t>
  </si>
  <si>
    <t xml:space="preserve">Dependência</t>
  </si>
  <si>
    <t xml:space="preserve">Autoridade responsável</t>
  </si>
  <si>
    <t xml:space="preserve">Impacto se não atendida</t>
  </si>
  <si>
    <t xml:space="preserve">DEP-001</t>
  </si>
  <si>
    <t xml:space="preserve">Externa</t>
  </si>
  <si>
    <t xml:space="preserve">Parecer jurídico/regulatório sobre vigência, aplicabilidade normativa, natureza jurídica da ABNT NBR 17037 e distinção Regra A / Regra B</t>
  </si>
  <si>
    <t xml:space="preserve">Bloqueia conteúdo de CAP-033, CAP-035, CAP-038</t>
  </si>
  <si>
    <t xml:space="preserve">v0.2 — escopo redefinido, LGPD movida para DEP-010</t>
  </si>
  <si>
    <t xml:space="preserve">DEP-002</t>
  </si>
  <si>
    <t xml:space="preserve">Parecer de responsável técnico sobre periodicidades, parâmetros e procedimentos</t>
  </si>
  <si>
    <t xml:space="preserve">Bloqueia conteúdo de CAP-032, CAP-033, CAP-036</t>
  </si>
  <si>
    <t xml:space="preserve">DEP-003</t>
  </si>
  <si>
    <t xml:space="preserve">Aquisição legítima das normas técnicas ABNT aplicáveis, incluindo a ABNT NBR 17037 (edição vigente)</t>
  </si>
  <si>
    <t xml:space="preserve">Services.NET</t>
  </si>
  <si>
    <t xml:space="preserve">Bloqueia Fase 2 e W4</t>
  </si>
  <si>
    <t xml:space="preserve">DEP-004</t>
  </si>
  <si>
    <t xml:space="preserve">Cliente</t>
  </si>
  <si>
    <t xml:space="preserve">Disponibilidade do cliente-piloto para levantamento</t>
  </si>
  <si>
    <t xml:space="preserve">Bloqueia Fase 2</t>
  </si>
  <si>
    <t xml:space="preserve">DEP-005</t>
  </si>
  <si>
    <t xml:space="preserve">Base de inventário inicial para carga</t>
  </si>
  <si>
    <t xml:space="preserve">Cliente-piloto (STK-010)</t>
  </si>
  <si>
    <t xml:space="preserve">Bloqueia go-live do MVP</t>
  </si>
  <si>
    <t xml:space="preserve">DEP-006</t>
  </si>
  <si>
    <t xml:space="preserve">Infra</t>
  </si>
  <si>
    <t xml:space="preserve">Definição de provedor de nuvem, object storage e identidade</t>
  </si>
  <si>
    <t xml:space="preserve">Architect (STK-003) / Ops (STK-006)</t>
  </si>
  <si>
    <t xml:space="preserve">Bloqueia Fase 9</t>
  </si>
  <si>
    <t xml:space="preserve">DEP-007</t>
  </si>
  <si>
    <t xml:space="preserve">Repositório Git e pipeline de CI/CD</t>
  </si>
  <si>
    <t xml:space="preserve">Engenharia (STK-004)</t>
  </si>
  <si>
    <t xml:space="preserve">Bloqueia W1</t>
  </si>
  <si>
    <t xml:space="preserve">DEP-008</t>
  </si>
  <si>
    <t xml:space="preserve">Interna</t>
  </si>
  <si>
    <t xml:space="preserve">Designação de patrocinador, Product Owner, autoridade jurídica e DPO</t>
  </si>
  <si>
    <t xml:space="preserve">Bloqueia aprovação da Fase 1</t>
  </si>
  <si>
    <t xml:space="preserve">v0.2 — inclui Jurídico e DPO</t>
  </si>
  <si>
    <t xml:space="preserve">DEP-009</t>
  </si>
  <si>
    <t xml:space="preserve">Decisão de ADR-001 (multi-tenancy), ADR-002 (identificadores) e ADR-008 (Compliance as Data)</t>
  </si>
  <si>
    <t xml:space="preserve">Bloqueia início de implementação de W1</t>
  </si>
  <si>
    <t xml:space="preserve">v0.2 — ADR-008 acrescentado</t>
  </si>
  <si>
    <t xml:space="preserve">DEP-010</t>
  </si>
  <si>
    <t xml:space="preserve">Parecer do DPO/Encarregado sobre bases legais da LGPD, categorias de dados, retenção, minimização e direitos dos titulares</t>
  </si>
  <si>
    <t xml:space="preserve">Bloqueia CAP-058, CAP-093, CAP-095</t>
  </si>
  <si>
    <t xml:space="preserve">v0.2 — NOVA, separada de DEP-001</t>
  </si>
  <si>
    <t xml:space="preserve">XLS-001 — Resumo (v0.2 — contagens corrigidas)</t>
  </si>
  <si>
    <t xml:space="preserve">Contagens calculadas sobre as linhas de dados (a linha de cabeçalho está na linha 4 e é excluída).</t>
  </si>
  <si>
    <t xml:space="preserve">Hipóteses registradas</t>
  </si>
  <si>
    <t xml:space="preserve">Hipóteses abertas</t>
  </si>
  <si>
    <t xml:space="preserve">Restrições registradas</t>
  </si>
  <si>
    <t xml:space="preserve">Dependências registradas</t>
  </si>
  <si>
    <t xml:space="preserve">Dependências abertas</t>
  </si>
  <si>
    <t xml:space="preserve">Esperado — hipóteses</t>
  </si>
  <si>
    <t xml:space="preserve">Esperado — restrições</t>
  </si>
  <si>
    <t xml:space="preserve">Esperado — dependências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</si>
</sst>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3864"/>
      <name val="Arial"/>
      <family val="0"/>
      <charset val="1"/>
    </font>
    <font>
      <i val="true"/>
      <sz val="9"/>
      <color rgb="FF595959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FF2CC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 patternType="solid">
          <fgColor rgb="FF1F3864"/>
          <bgColor rgb="FF000000"/>
        </patternFill>
      </fill>
    </dxf>
    <dxf>
      <fill>
        <patternFill patternType="solid">
          <fgColor rgb="FFFFF2CC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14"/>
    <col collapsed="false" customWidth="true" hidden="false" outlineLevel="0" max="3" min="3" style="0" width="50"/>
    <col collapsed="false" customWidth="true" hidden="false" outlineLevel="0" max="4" min="4" style="0" width="38"/>
    <col collapsed="false" customWidth="true" hidden="false" outlineLevel="0" max="5" min="5" style="0" width="24"/>
    <col collapsed="false" customWidth="true" hidden="false" outlineLevel="0" max="6" min="6" style="0" width="11"/>
    <col collapsed="false" customWidth="true" hidden="false" outlineLevel="0" max="7" min="7" style="0" width="15"/>
    <col collapsed="false" customWidth="true" hidden="false" outlineLevel="0" max="8" min="8" style="0" width="16"/>
    <col collapsed="false" customWidth="true" hidden="false" outlineLevel="0" max="9" min="9" style="0" width="34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30" hidden="false" customHeight="tru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</row>
    <row r="5" customFormat="false" ht="23.85" hidden="false" customHeight="false" outlineLevel="0" collapsed="false">
      <c r="A5" s="4" t="s">
        <v>11</v>
      </c>
      <c r="B5" s="4" t="s">
        <v>12</v>
      </c>
      <c r="C5" s="4" t="s">
        <v>13</v>
      </c>
      <c r="D5" s="4" t="s">
        <v>14</v>
      </c>
      <c r="E5" s="4" t="s">
        <v>15</v>
      </c>
      <c r="F5" s="4" t="s">
        <v>16</v>
      </c>
      <c r="G5" s="4" t="s">
        <v>17</v>
      </c>
      <c r="H5" s="4" t="s">
        <v>18</v>
      </c>
      <c r="I5" s="4" t="s">
        <v>19</v>
      </c>
    </row>
    <row r="6" customFormat="false" ht="23.85" hidden="false" customHeight="false" outlineLevel="0" collapsed="false">
      <c r="A6" s="4" t="s">
        <v>20</v>
      </c>
      <c r="B6" s="4" t="s">
        <v>21</v>
      </c>
      <c r="C6" s="4" t="s">
        <v>22</v>
      </c>
      <c r="D6" s="4" t="s">
        <v>23</v>
      </c>
      <c r="E6" s="4" t="s">
        <v>24</v>
      </c>
      <c r="F6" s="4" t="s">
        <v>16</v>
      </c>
      <c r="G6" s="4" t="s">
        <v>25</v>
      </c>
      <c r="H6" s="4" t="s">
        <v>26</v>
      </c>
      <c r="I6" s="4" t="s">
        <v>19</v>
      </c>
    </row>
    <row r="7" customFormat="false" ht="23.85" hidden="false" customHeight="false" outlineLevel="0" collapsed="false">
      <c r="A7" s="4" t="s">
        <v>27</v>
      </c>
      <c r="B7" s="4" t="s">
        <v>28</v>
      </c>
      <c r="C7" s="4" t="s">
        <v>29</v>
      </c>
      <c r="D7" s="4" t="s">
        <v>30</v>
      </c>
      <c r="E7" s="4" t="s">
        <v>15</v>
      </c>
      <c r="F7" s="4" t="s">
        <v>16</v>
      </c>
      <c r="G7" s="4" t="s">
        <v>17</v>
      </c>
      <c r="H7" s="4" t="s">
        <v>31</v>
      </c>
      <c r="I7" s="4" t="s">
        <v>19</v>
      </c>
    </row>
    <row r="8" customFormat="false" ht="23.85" hidden="false" customHeight="false" outlineLevel="0" collapsed="false">
      <c r="A8" s="4" t="s">
        <v>32</v>
      </c>
      <c r="B8" s="4" t="s">
        <v>33</v>
      </c>
      <c r="C8" s="4" t="s">
        <v>34</v>
      </c>
      <c r="D8" s="4" t="s">
        <v>35</v>
      </c>
      <c r="E8" s="4" t="s">
        <v>36</v>
      </c>
      <c r="F8" s="4" t="s">
        <v>16</v>
      </c>
      <c r="G8" s="4" t="s">
        <v>17</v>
      </c>
      <c r="H8" s="4" t="s">
        <v>37</v>
      </c>
      <c r="I8" s="4" t="s">
        <v>19</v>
      </c>
    </row>
    <row r="9" customFormat="false" ht="15" hidden="false" customHeight="false" outlineLevel="0" collapsed="false">
      <c r="A9" s="4" t="s">
        <v>38</v>
      </c>
      <c r="B9" s="4" t="s">
        <v>39</v>
      </c>
      <c r="C9" s="4" t="s">
        <v>40</v>
      </c>
      <c r="D9" s="4" t="s">
        <v>41</v>
      </c>
      <c r="E9" s="4" t="s">
        <v>42</v>
      </c>
      <c r="F9" s="4" t="s">
        <v>16</v>
      </c>
      <c r="G9" s="4" t="s">
        <v>17</v>
      </c>
      <c r="H9" s="4" t="s">
        <v>31</v>
      </c>
      <c r="I9" s="4" t="s">
        <v>19</v>
      </c>
    </row>
    <row r="10" customFormat="false" ht="23.85" hidden="false" customHeight="false" outlineLevel="0" collapsed="false">
      <c r="A10" s="5" t="s">
        <v>43</v>
      </c>
      <c r="B10" s="5" t="s">
        <v>44</v>
      </c>
      <c r="C10" s="5" t="s">
        <v>45</v>
      </c>
      <c r="D10" s="5" t="s">
        <v>46</v>
      </c>
      <c r="E10" s="5" t="s">
        <v>47</v>
      </c>
      <c r="F10" s="5" t="s">
        <v>16</v>
      </c>
      <c r="G10" s="5" t="s">
        <v>17</v>
      </c>
      <c r="H10" s="5" t="s">
        <v>48</v>
      </c>
      <c r="I10" s="5" t="s">
        <v>49</v>
      </c>
    </row>
    <row r="11" customFormat="false" ht="23.85" hidden="false" customHeight="false" outlineLevel="0" collapsed="false">
      <c r="A11" s="4" t="s">
        <v>50</v>
      </c>
      <c r="B11" s="4" t="s">
        <v>51</v>
      </c>
      <c r="C11" s="4" t="s">
        <v>52</v>
      </c>
      <c r="D11" s="4" t="s">
        <v>53</v>
      </c>
      <c r="E11" s="4" t="s">
        <v>36</v>
      </c>
      <c r="F11" s="4" t="s">
        <v>16</v>
      </c>
      <c r="G11" s="4" t="s">
        <v>54</v>
      </c>
      <c r="H11" s="4" t="s">
        <v>55</v>
      </c>
      <c r="I11" s="4" t="s">
        <v>19</v>
      </c>
    </row>
    <row r="12" customFormat="false" ht="23.85" hidden="false" customHeight="false" outlineLevel="0" collapsed="false">
      <c r="A12" s="4" t="s">
        <v>56</v>
      </c>
      <c r="B12" s="4" t="s">
        <v>28</v>
      </c>
      <c r="C12" s="4" t="s">
        <v>57</v>
      </c>
      <c r="D12" s="4" t="s">
        <v>58</v>
      </c>
      <c r="E12" s="4" t="s">
        <v>42</v>
      </c>
      <c r="F12" s="4" t="s">
        <v>16</v>
      </c>
      <c r="G12" s="4" t="s">
        <v>17</v>
      </c>
      <c r="H12" s="4" t="s">
        <v>31</v>
      </c>
      <c r="I12" s="4" t="s">
        <v>19</v>
      </c>
    </row>
    <row r="13" customFormat="false" ht="15" hidden="false" customHeight="false" outlineLevel="0" collapsed="false">
      <c r="A13" s="4" t="s">
        <v>59</v>
      </c>
      <c r="B13" s="4" t="s">
        <v>60</v>
      </c>
      <c r="C13" s="4" t="s">
        <v>61</v>
      </c>
      <c r="D13" s="4" t="s">
        <v>62</v>
      </c>
      <c r="E13" s="4" t="s">
        <v>15</v>
      </c>
      <c r="F13" s="4" t="s">
        <v>16</v>
      </c>
      <c r="G13" s="4" t="s">
        <v>17</v>
      </c>
      <c r="H13" s="4" t="s">
        <v>63</v>
      </c>
      <c r="I13" s="4" t="s">
        <v>19</v>
      </c>
    </row>
    <row r="14" customFormat="false" ht="23.85" hidden="false" customHeight="false" outlineLevel="0" collapsed="false">
      <c r="A14" s="4" t="s">
        <v>64</v>
      </c>
      <c r="B14" s="4" t="s">
        <v>33</v>
      </c>
      <c r="C14" s="4" t="s">
        <v>65</v>
      </c>
      <c r="D14" s="4" t="s">
        <v>66</v>
      </c>
      <c r="E14" s="4" t="s">
        <v>67</v>
      </c>
      <c r="F14" s="4" t="s">
        <v>16</v>
      </c>
      <c r="G14" s="4" t="s">
        <v>17</v>
      </c>
      <c r="H14" s="4" t="s">
        <v>68</v>
      </c>
      <c r="I14" s="4" t="s">
        <v>19</v>
      </c>
    </row>
    <row r="15" customFormat="false" ht="35.05" hidden="false" customHeight="false" outlineLevel="0" collapsed="false">
      <c r="A15" s="4" t="s">
        <v>69</v>
      </c>
      <c r="B15" s="4" t="s">
        <v>70</v>
      </c>
      <c r="C15" s="4" t="s">
        <v>71</v>
      </c>
      <c r="D15" s="4" t="s">
        <v>72</v>
      </c>
      <c r="E15" s="4" t="s">
        <v>67</v>
      </c>
      <c r="F15" s="4" t="s">
        <v>16</v>
      </c>
      <c r="G15" s="4" t="s">
        <v>17</v>
      </c>
      <c r="H15" s="4" t="s">
        <v>73</v>
      </c>
      <c r="I15" s="4" t="s">
        <v>19</v>
      </c>
    </row>
    <row r="16" customFormat="false" ht="46.25" hidden="false" customHeight="false" outlineLevel="0" collapsed="false">
      <c r="A16" s="5" t="s">
        <v>74</v>
      </c>
      <c r="B16" s="5" t="s">
        <v>12</v>
      </c>
      <c r="C16" s="5" t="s">
        <v>75</v>
      </c>
      <c r="D16" s="5" t="s">
        <v>76</v>
      </c>
      <c r="E16" s="5" t="s">
        <v>77</v>
      </c>
      <c r="F16" s="5" t="s">
        <v>16</v>
      </c>
      <c r="G16" s="5" t="s">
        <v>17</v>
      </c>
      <c r="H16" s="5" t="s">
        <v>78</v>
      </c>
      <c r="I16" s="5" t="s">
        <v>79</v>
      </c>
    </row>
  </sheetData>
  <autoFilter ref="A4:I16"/>
  <dataValidations count="1">
    <dataValidation allowBlank="true" errorStyle="stop" operator="between" showDropDown="false" showErrorMessage="false" showInputMessage="false" sqref="F5:F16" type="list">
      <formula1>"Aberta,Validada,Refutada,Substituída"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15"/>
    <col collapsed="false" customWidth="true" hidden="false" outlineLevel="0" max="3" min="3" style="0" width="62"/>
    <col collapsed="false" customWidth="true" hidden="false" outlineLevel="0" max="4" min="4" style="0" width="30"/>
    <col collapsed="false" customWidth="true" hidden="false" outlineLevel="0" max="5" min="5" style="0" width="11"/>
    <col collapsed="false" customWidth="true" hidden="false" outlineLevel="0" max="6" min="6" style="0" width="34"/>
  </cols>
  <sheetData>
    <row r="1" customFormat="false" ht="17.35" hidden="false" customHeight="false" outlineLevel="0" collapsed="false">
      <c r="A1" s="1" t="s">
        <v>80</v>
      </c>
    </row>
    <row r="2" customFormat="false" ht="15" hidden="false" customHeight="false" outlineLevel="0" collapsed="false">
      <c r="A2" s="2" t="s">
        <v>81</v>
      </c>
    </row>
    <row r="4" customFormat="false" ht="30" hidden="false" customHeight="true" outlineLevel="0" collapsed="false">
      <c r="A4" s="3" t="s">
        <v>2</v>
      </c>
      <c r="B4" s="3" t="s">
        <v>3</v>
      </c>
      <c r="C4" s="3" t="s">
        <v>82</v>
      </c>
      <c r="D4" s="3" t="s">
        <v>83</v>
      </c>
      <c r="E4" s="3" t="s">
        <v>84</v>
      </c>
      <c r="F4" s="3" t="s">
        <v>10</v>
      </c>
    </row>
    <row r="5" customFormat="false" ht="15" hidden="false" customHeight="false" outlineLevel="0" collapsed="false">
      <c r="A5" s="4" t="s">
        <v>85</v>
      </c>
      <c r="B5" s="4" t="s">
        <v>86</v>
      </c>
      <c r="C5" s="4" t="s">
        <v>87</v>
      </c>
      <c r="D5" s="4" t="s">
        <v>88</v>
      </c>
      <c r="E5" s="4" t="s">
        <v>89</v>
      </c>
      <c r="F5" s="4" t="s">
        <v>19</v>
      </c>
    </row>
    <row r="6" customFormat="false" ht="15" hidden="false" customHeight="false" outlineLevel="0" collapsed="false">
      <c r="A6" s="4" t="s">
        <v>90</v>
      </c>
      <c r="B6" s="4" t="s">
        <v>12</v>
      </c>
      <c r="C6" s="4" t="s">
        <v>91</v>
      </c>
      <c r="D6" s="4" t="s">
        <v>92</v>
      </c>
      <c r="E6" s="4" t="s">
        <v>89</v>
      </c>
      <c r="F6" s="4" t="s">
        <v>19</v>
      </c>
    </row>
    <row r="7" customFormat="false" ht="15" hidden="false" customHeight="false" outlineLevel="0" collapsed="false">
      <c r="A7" s="4" t="s">
        <v>93</v>
      </c>
      <c r="B7" s="4" t="s">
        <v>51</v>
      </c>
      <c r="C7" s="4" t="s">
        <v>94</v>
      </c>
      <c r="D7" s="4" t="s">
        <v>95</v>
      </c>
      <c r="E7" s="4" t="s">
        <v>89</v>
      </c>
      <c r="F7" s="4" t="s">
        <v>19</v>
      </c>
    </row>
    <row r="8" customFormat="false" ht="23.85" hidden="false" customHeight="false" outlineLevel="0" collapsed="false">
      <c r="A8" s="5" t="s">
        <v>96</v>
      </c>
      <c r="B8" s="5" t="s">
        <v>97</v>
      </c>
      <c r="C8" s="5" t="s">
        <v>98</v>
      </c>
      <c r="D8" s="5" t="s">
        <v>99</v>
      </c>
      <c r="E8" s="5" t="s">
        <v>89</v>
      </c>
      <c r="F8" s="5" t="s">
        <v>100</v>
      </c>
    </row>
    <row r="9" customFormat="false" ht="23.85" hidden="false" customHeight="false" outlineLevel="0" collapsed="false">
      <c r="A9" s="5" t="s">
        <v>101</v>
      </c>
      <c r="B9" s="5" t="s">
        <v>97</v>
      </c>
      <c r="C9" s="5" t="s">
        <v>102</v>
      </c>
      <c r="D9" s="5" t="s">
        <v>103</v>
      </c>
      <c r="E9" s="5" t="s">
        <v>89</v>
      </c>
      <c r="F9" s="5" t="s">
        <v>104</v>
      </c>
    </row>
    <row r="10" customFormat="false" ht="15" hidden="false" customHeight="false" outlineLevel="0" collapsed="false">
      <c r="A10" s="4" t="s">
        <v>105</v>
      </c>
      <c r="B10" s="4" t="s">
        <v>51</v>
      </c>
      <c r="C10" s="4" t="s">
        <v>106</v>
      </c>
      <c r="D10" s="4" t="s">
        <v>107</v>
      </c>
      <c r="E10" s="4" t="s">
        <v>108</v>
      </c>
      <c r="F10" s="4" t="s">
        <v>19</v>
      </c>
    </row>
    <row r="11" customFormat="false" ht="23.85" hidden="false" customHeight="false" outlineLevel="0" collapsed="false">
      <c r="A11" s="4" t="s">
        <v>109</v>
      </c>
      <c r="B11" s="4" t="s">
        <v>110</v>
      </c>
      <c r="C11" s="4" t="s">
        <v>111</v>
      </c>
      <c r="D11" s="4" t="s">
        <v>112</v>
      </c>
      <c r="E11" s="4" t="s">
        <v>89</v>
      </c>
      <c r="F11" s="4" t="s">
        <v>19</v>
      </c>
    </row>
    <row r="12" customFormat="false" ht="23.85" hidden="false" customHeight="false" outlineLevel="0" collapsed="false">
      <c r="A12" s="4" t="s">
        <v>113</v>
      </c>
      <c r="B12" s="4" t="s">
        <v>114</v>
      </c>
      <c r="C12" s="4" t="s">
        <v>115</v>
      </c>
      <c r="D12" s="4" t="s">
        <v>116</v>
      </c>
      <c r="E12" s="4" t="s">
        <v>89</v>
      </c>
      <c r="F12" s="4" t="s">
        <v>19</v>
      </c>
    </row>
    <row r="13" customFormat="false" ht="15" hidden="false" customHeight="false" outlineLevel="0" collapsed="false">
      <c r="A13" s="4" t="s">
        <v>117</v>
      </c>
      <c r="B13" s="4" t="s">
        <v>118</v>
      </c>
      <c r="C13" s="4" t="s">
        <v>119</v>
      </c>
      <c r="D13" s="4" t="s">
        <v>25</v>
      </c>
      <c r="E13" s="4" t="s">
        <v>89</v>
      </c>
      <c r="F13" s="4" t="s">
        <v>19</v>
      </c>
    </row>
    <row r="14" customFormat="false" ht="23.85" hidden="false" customHeight="false" outlineLevel="0" collapsed="false">
      <c r="A14" s="5" t="s">
        <v>120</v>
      </c>
      <c r="B14" s="5" t="s">
        <v>121</v>
      </c>
      <c r="C14" s="5" t="s">
        <v>122</v>
      </c>
      <c r="D14" s="5" t="s">
        <v>123</v>
      </c>
      <c r="E14" s="5" t="s">
        <v>108</v>
      </c>
      <c r="F14" s="5" t="s">
        <v>124</v>
      </c>
    </row>
    <row r="15" customFormat="false" ht="35.05" hidden="false" customHeight="false" outlineLevel="0" collapsed="false">
      <c r="A15" s="5" t="s">
        <v>125</v>
      </c>
      <c r="B15" s="5" t="s">
        <v>126</v>
      </c>
      <c r="C15" s="5" t="s">
        <v>127</v>
      </c>
      <c r="D15" s="5" t="s">
        <v>128</v>
      </c>
      <c r="E15" s="5" t="s">
        <v>89</v>
      </c>
      <c r="F15" s="5" t="s">
        <v>129</v>
      </c>
    </row>
    <row r="16" customFormat="false" ht="15" hidden="false" customHeight="false" outlineLevel="0" collapsed="false">
      <c r="A16" s="4" t="s">
        <v>130</v>
      </c>
      <c r="B16" s="4" t="s">
        <v>86</v>
      </c>
      <c r="C16" s="4" t="s">
        <v>131</v>
      </c>
      <c r="D16" s="4" t="s">
        <v>132</v>
      </c>
      <c r="E16" s="4" t="s">
        <v>89</v>
      </c>
      <c r="F16" s="4" t="s">
        <v>19</v>
      </c>
    </row>
  </sheetData>
  <autoFilter ref="A4:F16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11"/>
    <col collapsed="false" customWidth="true" hidden="false" outlineLevel="0" max="3" min="3" style="0" width="52"/>
    <col collapsed="false" customWidth="true" hidden="false" outlineLevel="0" max="4" min="4" style="0" width="26"/>
    <col collapsed="false" customWidth="true" hidden="false" outlineLevel="0" max="5" min="5" style="0" width="34"/>
    <col collapsed="false" customWidth="true" hidden="false" outlineLevel="0" max="6" min="6" style="0" width="11"/>
    <col collapsed="false" customWidth="true" hidden="false" outlineLevel="0" max="7" min="7" style="0" width="34"/>
  </cols>
  <sheetData>
    <row r="1" customFormat="false" ht="17.35" hidden="false" customHeight="false" outlineLevel="0" collapsed="false">
      <c r="A1" s="1" t="s">
        <v>133</v>
      </c>
    </row>
    <row r="2" customFormat="false" ht="15" hidden="false" customHeight="false" outlineLevel="0" collapsed="false">
      <c r="A2" s="2" t="s">
        <v>134</v>
      </c>
    </row>
    <row r="4" customFormat="false" ht="30" hidden="false" customHeight="true" outlineLevel="0" collapsed="false">
      <c r="A4" s="3" t="s">
        <v>2</v>
      </c>
      <c r="B4" s="3" t="s">
        <v>135</v>
      </c>
      <c r="C4" s="3" t="s">
        <v>136</v>
      </c>
      <c r="D4" s="3" t="s">
        <v>137</v>
      </c>
      <c r="E4" s="3" t="s">
        <v>138</v>
      </c>
      <c r="F4" s="3" t="s">
        <v>7</v>
      </c>
      <c r="G4" s="3" t="s">
        <v>10</v>
      </c>
    </row>
    <row r="5" customFormat="false" ht="35.05" hidden="false" customHeight="false" outlineLevel="0" collapsed="false">
      <c r="A5" s="5" t="s">
        <v>139</v>
      </c>
      <c r="B5" s="5" t="s">
        <v>140</v>
      </c>
      <c r="C5" s="5" t="s">
        <v>141</v>
      </c>
      <c r="D5" s="5" t="s">
        <v>42</v>
      </c>
      <c r="E5" s="5" t="s">
        <v>142</v>
      </c>
      <c r="F5" s="5" t="s">
        <v>16</v>
      </c>
      <c r="G5" s="5" t="s">
        <v>143</v>
      </c>
    </row>
    <row r="6" customFormat="false" ht="23.85" hidden="false" customHeight="false" outlineLevel="0" collapsed="false">
      <c r="A6" s="4" t="s">
        <v>144</v>
      </c>
      <c r="B6" s="4" t="s">
        <v>140</v>
      </c>
      <c r="C6" s="4" t="s">
        <v>145</v>
      </c>
      <c r="D6" s="4" t="s">
        <v>67</v>
      </c>
      <c r="E6" s="4" t="s">
        <v>146</v>
      </c>
      <c r="F6" s="4" t="s">
        <v>16</v>
      </c>
      <c r="G6" s="4" t="s">
        <v>19</v>
      </c>
    </row>
    <row r="7" customFormat="false" ht="23.85" hidden="false" customHeight="false" outlineLevel="0" collapsed="false">
      <c r="A7" s="5" t="s">
        <v>147</v>
      </c>
      <c r="B7" s="5" t="s">
        <v>140</v>
      </c>
      <c r="C7" s="5" t="s">
        <v>148</v>
      </c>
      <c r="D7" s="5" t="s">
        <v>149</v>
      </c>
      <c r="E7" s="5" t="s">
        <v>150</v>
      </c>
      <c r="F7" s="5" t="s">
        <v>16</v>
      </c>
      <c r="G7" s="5" t="s">
        <v>100</v>
      </c>
    </row>
    <row r="8" customFormat="false" ht="15" hidden="false" customHeight="false" outlineLevel="0" collapsed="false">
      <c r="A8" s="4" t="s">
        <v>151</v>
      </c>
      <c r="B8" s="4" t="s">
        <v>152</v>
      </c>
      <c r="C8" s="4" t="s">
        <v>153</v>
      </c>
      <c r="D8" s="4" t="s">
        <v>15</v>
      </c>
      <c r="E8" s="4" t="s">
        <v>154</v>
      </c>
      <c r="F8" s="4" t="s">
        <v>16</v>
      </c>
      <c r="G8" s="4" t="s">
        <v>19</v>
      </c>
    </row>
    <row r="9" customFormat="false" ht="15" hidden="false" customHeight="false" outlineLevel="0" collapsed="false">
      <c r="A9" s="4" t="s">
        <v>155</v>
      </c>
      <c r="B9" s="4" t="s">
        <v>152</v>
      </c>
      <c r="C9" s="4" t="s">
        <v>156</v>
      </c>
      <c r="D9" s="4" t="s">
        <v>157</v>
      </c>
      <c r="E9" s="4" t="s">
        <v>158</v>
      </c>
      <c r="F9" s="4" t="s">
        <v>16</v>
      </c>
      <c r="G9" s="4" t="s">
        <v>19</v>
      </c>
    </row>
    <row r="10" customFormat="false" ht="23.85" hidden="false" customHeight="false" outlineLevel="0" collapsed="false">
      <c r="A10" s="4" t="s">
        <v>159</v>
      </c>
      <c r="B10" s="4" t="s">
        <v>160</v>
      </c>
      <c r="C10" s="4" t="s">
        <v>161</v>
      </c>
      <c r="D10" s="4" t="s">
        <v>162</v>
      </c>
      <c r="E10" s="4" t="s">
        <v>163</v>
      </c>
      <c r="F10" s="4" t="s">
        <v>16</v>
      </c>
      <c r="G10" s="4" t="s">
        <v>19</v>
      </c>
    </row>
    <row r="11" customFormat="false" ht="15" hidden="false" customHeight="false" outlineLevel="0" collapsed="false">
      <c r="A11" s="4" t="s">
        <v>164</v>
      </c>
      <c r="B11" s="4" t="s">
        <v>160</v>
      </c>
      <c r="C11" s="4" t="s">
        <v>165</v>
      </c>
      <c r="D11" s="4" t="s">
        <v>166</v>
      </c>
      <c r="E11" s="4" t="s">
        <v>167</v>
      </c>
      <c r="F11" s="4" t="s">
        <v>16</v>
      </c>
      <c r="G11" s="4" t="s">
        <v>19</v>
      </c>
    </row>
    <row r="12" customFormat="false" ht="23.85" hidden="false" customHeight="false" outlineLevel="0" collapsed="false">
      <c r="A12" s="5" t="s">
        <v>168</v>
      </c>
      <c r="B12" s="5" t="s">
        <v>169</v>
      </c>
      <c r="C12" s="5" t="s">
        <v>170</v>
      </c>
      <c r="D12" s="5" t="s">
        <v>149</v>
      </c>
      <c r="E12" s="5" t="s">
        <v>171</v>
      </c>
      <c r="F12" s="5" t="s">
        <v>16</v>
      </c>
      <c r="G12" s="5" t="s">
        <v>172</v>
      </c>
    </row>
    <row r="13" customFormat="false" ht="23.85" hidden="false" customHeight="false" outlineLevel="0" collapsed="false">
      <c r="A13" s="5" t="s">
        <v>173</v>
      </c>
      <c r="B13" s="5" t="s">
        <v>169</v>
      </c>
      <c r="C13" s="5" t="s">
        <v>174</v>
      </c>
      <c r="D13" s="5" t="s">
        <v>36</v>
      </c>
      <c r="E13" s="5" t="s">
        <v>175</v>
      </c>
      <c r="F13" s="5" t="s">
        <v>16</v>
      </c>
      <c r="G13" s="5" t="s">
        <v>176</v>
      </c>
    </row>
    <row r="14" customFormat="false" ht="35.05" hidden="false" customHeight="false" outlineLevel="0" collapsed="false">
      <c r="A14" s="5" t="s">
        <v>177</v>
      </c>
      <c r="B14" s="5" t="s">
        <v>140</v>
      </c>
      <c r="C14" s="5" t="s">
        <v>178</v>
      </c>
      <c r="D14" s="5" t="s">
        <v>47</v>
      </c>
      <c r="E14" s="5" t="s">
        <v>179</v>
      </c>
      <c r="F14" s="5" t="s">
        <v>16</v>
      </c>
      <c r="G14" s="5" t="s">
        <v>180</v>
      </c>
    </row>
  </sheetData>
  <autoFilter ref="A4:G14"/>
  <dataValidations count="1">
    <dataValidation allowBlank="true" errorStyle="stop" operator="between" showDropDown="false" showErrorMessage="false" showInputMessage="false" sqref="F5:F14" type="list">
      <formula1>"Aberta,Em andamento,Atendida,Cancelada"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14"/>
  </cols>
  <sheetData>
    <row r="1" customFormat="false" ht="17.35" hidden="false" customHeight="false" outlineLevel="0" collapsed="false">
      <c r="A1" s="1" t="s">
        <v>181</v>
      </c>
    </row>
    <row r="2" customFormat="false" ht="15" hidden="false" customHeight="false" outlineLevel="0" collapsed="false">
      <c r="A2" s="2" t="s">
        <v>182</v>
      </c>
    </row>
    <row r="4" customFormat="false" ht="15" hidden="false" customHeight="false" outlineLevel="0" collapsed="false">
      <c r="A4" s="6" t="s">
        <v>183</v>
      </c>
      <c r="B4" s="6" t="n">
        <f aca="false">COUNTA(Assumptions!A5:A200)</f>
        <v>12</v>
      </c>
    </row>
    <row r="5" customFormat="false" ht="15" hidden="false" customHeight="false" outlineLevel="0" collapsed="false">
      <c r="A5" s="6" t="s">
        <v>184</v>
      </c>
      <c r="B5" s="6" t="n">
        <f aca="false">COUNTIF(Assumptions!F5:F200,"Aberta")</f>
        <v>12</v>
      </c>
    </row>
    <row r="6" customFormat="false" ht="15" hidden="false" customHeight="false" outlineLevel="0" collapsed="false">
      <c r="A6" s="6" t="s">
        <v>185</v>
      </c>
      <c r="B6" s="6" t="n">
        <f aca="false">COUNTA(Constraints!A5:A200)</f>
        <v>12</v>
      </c>
    </row>
    <row r="7" customFormat="false" ht="15" hidden="false" customHeight="false" outlineLevel="0" collapsed="false">
      <c r="A7" s="6" t="s">
        <v>186</v>
      </c>
      <c r="B7" s="6" t="n">
        <f aca="false">COUNTA(Dependencies!A5:A200)</f>
        <v>10</v>
      </c>
    </row>
    <row r="8" customFormat="false" ht="15" hidden="false" customHeight="false" outlineLevel="0" collapsed="false">
      <c r="A8" s="6" t="s">
        <v>187</v>
      </c>
      <c r="B8" s="6" t="n">
        <f aca="false">COUNTIF(Dependencies!F5:F200,"Aberta")</f>
        <v>10</v>
      </c>
    </row>
    <row r="9" customFormat="false" ht="15" hidden="false" customHeight="false" outlineLevel="0" collapsed="false">
      <c r="A9" s="6"/>
      <c r="B9" s="6"/>
    </row>
    <row r="10" customFormat="false" ht="15" hidden="false" customHeight="false" outlineLevel="0" collapsed="false">
      <c r="A10" s="6" t="s">
        <v>188</v>
      </c>
      <c r="B10" s="6" t="n">
        <v>12</v>
      </c>
    </row>
    <row r="11" customFormat="false" ht="15" hidden="false" customHeight="false" outlineLevel="0" collapsed="false">
      <c r="A11" s="6" t="s">
        <v>189</v>
      </c>
      <c r="B11" s="6" t="n">
        <v>12</v>
      </c>
    </row>
    <row r="12" customFormat="false" ht="15" hidden="false" customHeight="false" outlineLevel="0" collapsed="false">
      <c r="A12" s="6" t="s">
        <v>190</v>
      </c>
      <c r="B12" s="6" t="n">
        <v>10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LibreOffice/25.2.5.2$Linux_X86_64 LibreOffice_project/03d19516eb2e1dd5d4ccd751a0d6f35f35e08022</Application>
  <AppVersion>15.0000</AppVersion>
</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2026-09-22T20:35:41.2451884Z</dcterms:created>
  <dc:creator>MACIEL LIMA DE JESUS, ALAN</dc:creator>
  <dc:description/>
  <dc:language>en-US</dc:language>
  <lastModifiedBy>MACIEL LIMA DE JESUS, ALAN</lastModifiedBy>
  <dcterms:modified xsi:type="dcterms:W3CDTF">2026-09-22T20:35:41.2451884Z</dcterms:modified>
  <revision>0</revision>
  <dc:subject/>
  <dc:title/>
</coreProperties>
</file>

<file path=docProps/custom.xml><?xml version="1.0" encoding="utf-8"?>
<Properties xmlns="http://schemas.openxmlformats.org/officeDocument/2006/custom-properties" xmlns:vt="http://schemas.openxmlformats.org/officeDocument/2006/docPropsVTypes"/>
</file>