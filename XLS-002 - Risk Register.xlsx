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Summary" sheetId="2" state="visible" r:id="rId4"/>
  </sheets>
  <definedNames>
    <definedName function="false" hidden="true" localSheetId="0" name="_xlnm._FilterDatabase" vbProcedure="false">'Risk Register'!$A$4:$K$22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<sst xmlns="http://schemas.openxmlformats.org/spreadsheetml/2006/main" count="163" uniqueCount="111">
  <si>
    <t xml:space="preserve">XLS-002 — Risk Register (inicial)</t>
  </si>
  <si>
    <t xml:space="preserve">PMOC Software | Fase 1 | v0.1 DRAFT | 22/09/2026 | Score = Probabilidade x Impacto. Escala 1 (muito baixo) a 5 (muito alto).</t>
  </si>
  <si>
    <t xml:space="preserve">ID</t>
  </si>
  <si>
    <t xml:space="preserve">Categoria</t>
  </si>
  <si>
    <t xml:space="preserve">Descrição do risco</t>
  </si>
  <si>
    <t xml:space="preserve">Consequência</t>
  </si>
  <si>
    <t xml:space="preserve">Responsável</t>
  </si>
  <si>
    <t xml:space="preserve">Prob. (1-5)</t>
  </si>
  <si>
    <t xml:space="preserve">Impacto (1-5)</t>
  </si>
  <si>
    <t xml:space="preserve">Score</t>
  </si>
  <si>
    <t xml:space="preserve">Estratégia</t>
  </si>
  <si>
    <t xml:space="preserve">Resposta / Mitigação</t>
  </si>
  <si>
    <t xml:space="preserve">Status</t>
  </si>
  <si>
    <t xml:space="preserve">RSK-001</t>
  </si>
  <si>
    <t xml:space="preserve">Regulatório</t>
  </si>
  <si>
    <t xml:space="preserve">Indefinição sobre o referencial técnico vigente para qualidade do ar após a revogação da RE 9/2003 pela RDC 886/2024</t>
  </si>
  <si>
    <t xml:space="preserve">Parâmetros e checklists incorretos; PMOC questionável</t>
  </si>
  <si>
    <t xml:space="preserve">Jurídico/DPO</t>
  </si>
  <si>
    <t xml:space="preserve">Mitigar</t>
  </si>
  <si>
    <t xml:space="preserve">Tratar requisitos como dado versionado (Compliance as Data); obter parecer jurídico e de responsável técnico antes de fixar parâmetros</t>
  </si>
  <si>
    <t xml:space="preserve">Aberto</t>
  </si>
  <si>
    <t xml:space="preserve">RSK-002</t>
  </si>
  <si>
    <t xml:space="preserve">Segurança</t>
  </si>
  <si>
    <t xml:space="preserve">Vazamento de dados entre tenants por falha de escopo em consulta ou autorização</t>
  </si>
  <si>
    <t xml:space="preserve">Incidente grave, perda de confiança, exposição legal</t>
  </si>
  <si>
    <t xml:space="preserve">Architect/Segurança</t>
  </si>
  <si>
    <t xml:space="preserve">Escopo de tenant resolvido no servidor; testes automatizados de autorização negativa; revisão obrigatória em code review</t>
  </si>
  <si>
    <t xml:space="preserve">RSK-003</t>
  </si>
  <si>
    <t xml:space="preserve">Produto</t>
  </si>
  <si>
    <t xml:space="preserve">Escopo do MVP expandir além do ciclo mínimo (scope creep)</t>
  </si>
  <si>
    <t xml:space="preserve">Atraso, custo e perda de foco</t>
  </si>
  <si>
    <t xml:space="preserve">Product Owner</t>
  </si>
  <si>
    <t xml:space="preserve">Scope Boundary formal; gestão de mudança com avaliação de impacto</t>
  </si>
  <si>
    <t xml:space="preserve">RSK-004</t>
  </si>
  <si>
    <t xml:space="preserve">Ausência de cliente-piloto engajado leva a requisitos presumidos</t>
  </si>
  <si>
    <t xml:space="preserve">Produto desalinhado da operação real</t>
  </si>
  <si>
    <t xml:space="preserve">Confirmar piloto antes da Fase 2; registrar tudo não confirmado como hipótese</t>
  </si>
  <si>
    <t xml:space="preserve">RSK-005</t>
  </si>
  <si>
    <t xml:space="preserve">Governança</t>
  </si>
  <si>
    <t xml:space="preserve">Agentes de desenvolvimento alteram decisões estruturantes silenciosamente</t>
  </si>
  <si>
    <t xml:space="preserve">Erosão arquitetural e perda de rastreabilidade</t>
  </si>
  <si>
    <t xml:space="preserve">Architect</t>
  </si>
  <si>
    <t xml:space="preserve">AGENTS.md/CLAUDE.md com regras de ADR; revisão independente entre agentes</t>
  </si>
  <si>
    <t xml:space="preserve">RSK-006</t>
  </si>
  <si>
    <t xml:space="preserve">Técnico</t>
  </si>
  <si>
    <t xml:space="preserve">Modelo de multi-tenancy definido tardiamente</t>
  </si>
  <si>
    <t xml:space="preserve">Retrabalho estrutural em dados e migrações</t>
  </si>
  <si>
    <t xml:space="preserve">ADR-001 priorizado; até lá, TenantId obrigatório no modelo</t>
  </si>
  <si>
    <t xml:space="preserve">RSK-007</t>
  </si>
  <si>
    <t xml:space="preserve">Estratégia de identificadores incompatível com operação offline futura</t>
  </si>
  <si>
    <t xml:space="preserve">Reconstrução de sincronização e de APIs</t>
  </si>
  <si>
    <t xml:space="preserve">ADR-002 (UUIDv7 ou equivalente) antes da implementação</t>
  </si>
  <si>
    <t xml:space="preserve">RSK-008</t>
  </si>
  <si>
    <t xml:space="preserve">Operacional</t>
  </si>
  <si>
    <t xml:space="preserve">Qualidade do inventário inicial do piloto insuficiente</t>
  </si>
  <si>
    <t xml:space="preserve">Planos e cronogramas irreais</t>
  </si>
  <si>
    <t xml:space="preserve">Importação assistida, validações de cadastro e fase de carga</t>
  </si>
  <si>
    <t xml:space="preserve">RSK-009</t>
  </si>
  <si>
    <t xml:space="preserve">Evidências acessíveis por URL pública permanente</t>
  </si>
  <si>
    <t xml:space="preserve">Exposição de dados de clientes finais</t>
  </si>
  <si>
    <t xml:space="preserve">Evitar</t>
  </si>
  <si>
    <t xml:space="preserve">Acesso temporário e autorizado; nunca URL pública persistente</t>
  </si>
  <si>
    <t xml:space="preserve">RSK-010</t>
  </si>
  <si>
    <t xml:space="preserve">Privacidade</t>
  </si>
  <si>
    <t xml:space="preserve">Coleta de geolocalização ou biometria de assinatura sem base legal validada</t>
  </si>
  <si>
    <t xml:space="preserve">Não conformidade com a LGPD</t>
  </si>
  <si>
    <t xml:space="preserve">Manter como 'A validar'; não implementar sem parecer</t>
  </si>
  <si>
    <t xml:space="preserve">RSK-011</t>
  </si>
  <si>
    <t xml:space="preserve">Legal</t>
  </si>
  <si>
    <t xml:space="preserve">Reprodução indevida de norma técnica protegida por direito autoral</t>
  </si>
  <si>
    <t xml:space="preserve">Infração de direitos autorais</t>
  </si>
  <si>
    <t xml:space="preserve">Services.NET</t>
  </si>
  <si>
    <t xml:space="preserve">Referenciar, nunca reproduzir; aquisição legítima das normas</t>
  </si>
  <si>
    <t xml:space="preserve">RSK-012</t>
  </si>
  <si>
    <t xml:space="preserve">Volume de evidências fotográficas cresce além do previsto</t>
  </si>
  <si>
    <t xml:space="preserve">Custo de armazenamento e degradação de desempenho</t>
  </si>
  <si>
    <t xml:space="preserve">Ops</t>
  </si>
  <si>
    <t xml:space="preserve">Política de retenção, compressão e storage adequado</t>
  </si>
  <si>
    <t xml:space="preserve">RSK-013</t>
  </si>
  <si>
    <t xml:space="preserve">Conectividade no campo inferior ao assumido</t>
  </si>
  <si>
    <t xml:space="preserve">Perda de registro na origem; adoção comprometida</t>
  </si>
  <si>
    <t xml:space="preserve">Medir na Fase 2; antecipar PWA se necessário</t>
  </si>
  <si>
    <t xml:space="preserve">RSK-014</t>
  </si>
  <si>
    <t xml:space="preserve">Cronograma</t>
  </si>
  <si>
    <t xml:space="preserve">Equipe, orçamento e prazo indefinidos</t>
  </si>
  <si>
    <t xml:space="preserve">Planejamento não executável</t>
  </si>
  <si>
    <t xml:space="preserve">Patrocinador</t>
  </si>
  <si>
    <t xml:space="preserve">Obter definição antes do fim da Fase 1</t>
  </si>
  <si>
    <t xml:space="preserve">RSK-015</t>
  </si>
  <si>
    <t xml:space="preserve">Expectativa do piloto divergente do escopo acordado</t>
  </si>
  <si>
    <t xml:space="preserve">Conflito e insatisfação no go-live</t>
  </si>
  <si>
    <t xml:space="preserve">Escopo formalizado e comunicado; critérios de aceite assinados</t>
  </si>
  <si>
    <t xml:space="preserve">RSK-016</t>
  </si>
  <si>
    <t xml:space="preserve">Regras de negócio regulatórias codificadas na aplicação por conveniência</t>
  </si>
  <si>
    <t xml:space="preserve">Cada mudança normativa vira release</t>
  </si>
  <si>
    <t xml:space="preserve">Revisão de código específica; critério de aceite AC-MVP-10</t>
  </si>
  <si>
    <t xml:space="preserve">RSK-017</t>
  </si>
  <si>
    <t xml:space="preserve">Backup existente porém restore nunca testado</t>
  </si>
  <si>
    <t xml:space="preserve">Perda de dados em incidente</t>
  </si>
  <si>
    <t xml:space="preserve">Exercício de restore obrigatório antes do go-live</t>
  </si>
  <si>
    <t xml:space="preserve">RSK-018</t>
  </si>
  <si>
    <t xml:space="preserve">Dependência</t>
  </si>
  <si>
    <t xml:space="preserve">Atraso em parecer jurídico ou técnico externo</t>
  </si>
  <si>
    <t xml:space="preserve">Bloqueio de capacidades de conformidade</t>
  </si>
  <si>
    <t xml:space="preserve">Isolar dependências; MVP não depende de decisão pendente</t>
  </si>
  <si>
    <t xml:space="preserve">XLS-002 — Resumo</t>
  </si>
  <si>
    <t xml:space="preserve">Riscos registrados</t>
  </si>
  <si>
    <t xml:space="preserve">Riscos abertos</t>
  </si>
  <si>
    <t xml:space="preserve">Score máximo</t>
  </si>
  <si>
    <t xml:space="preserve">Score médio</t>
  </si>
  <si>
    <t xml:space="preserve">Riscos com score &gt;= 15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</si>
</sst>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4" min="4" style="0" width="38"/>
    <col collapsed="false" customWidth="true" hidden="false" outlineLevel="0" max="5" min="5" style="0" width="18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0" min="10" style="0" width="54"/>
    <col collapsed="false" customWidth="true" hidden="false" outlineLevel="0" max="11" min="11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35.05" hidden="false" customHeight="false" outlineLevel="0" collapsed="false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n">
        <v>4</v>
      </c>
      <c r="G5" s="4" t="n">
        <v>5</v>
      </c>
      <c r="H5" s="5" t="n">
        <f aca="false">F5*G5</f>
        <v>20</v>
      </c>
      <c r="I5" s="4" t="s">
        <v>18</v>
      </c>
      <c r="J5" s="4" t="s">
        <v>19</v>
      </c>
      <c r="K5" s="4" t="s">
        <v>20</v>
      </c>
    </row>
    <row r="6" customFormat="false" ht="23.85" hidden="false" customHeight="false" outlineLevel="0" collapsed="false">
      <c r="A6" s="4" t="s">
        <v>21</v>
      </c>
      <c r="B6" s="4" t="s">
        <v>22</v>
      </c>
      <c r="C6" s="4" t="s">
        <v>23</v>
      </c>
      <c r="D6" s="4" t="s">
        <v>24</v>
      </c>
      <c r="E6" s="4" t="s">
        <v>25</v>
      </c>
      <c r="F6" s="4" t="n">
        <v>2</v>
      </c>
      <c r="G6" s="4" t="n">
        <v>5</v>
      </c>
      <c r="H6" s="5" t="n">
        <f aca="false">F6*G6</f>
        <v>10</v>
      </c>
      <c r="I6" s="4" t="s">
        <v>18</v>
      </c>
      <c r="J6" s="4" t="s">
        <v>26</v>
      </c>
      <c r="K6" s="4" t="s">
        <v>20</v>
      </c>
    </row>
    <row r="7" customFormat="false" ht="23.85" hidden="false" customHeight="false" outlineLevel="0" collapsed="false">
      <c r="A7" s="4" t="s">
        <v>27</v>
      </c>
      <c r="B7" s="4" t="s">
        <v>28</v>
      </c>
      <c r="C7" s="4" t="s">
        <v>29</v>
      </c>
      <c r="D7" s="4" t="s">
        <v>30</v>
      </c>
      <c r="E7" s="4" t="s">
        <v>31</v>
      </c>
      <c r="F7" s="4" t="n">
        <v>4</v>
      </c>
      <c r="G7" s="4" t="n">
        <v>4</v>
      </c>
      <c r="H7" s="5" t="n">
        <f aca="false">F7*G7</f>
        <v>16</v>
      </c>
      <c r="I7" s="4" t="s">
        <v>18</v>
      </c>
      <c r="J7" s="4" t="s">
        <v>32</v>
      </c>
      <c r="K7" s="4" t="s">
        <v>20</v>
      </c>
    </row>
    <row r="8" customFormat="false" ht="23.85" hidden="false" customHeight="false" outlineLevel="0" collapsed="false">
      <c r="A8" s="4" t="s">
        <v>33</v>
      </c>
      <c r="B8" s="4" t="s">
        <v>28</v>
      </c>
      <c r="C8" s="4" t="s">
        <v>34</v>
      </c>
      <c r="D8" s="4" t="s">
        <v>35</v>
      </c>
      <c r="E8" s="4" t="s">
        <v>31</v>
      </c>
      <c r="F8" s="4" t="n">
        <v>3</v>
      </c>
      <c r="G8" s="4" t="n">
        <v>5</v>
      </c>
      <c r="H8" s="5" t="n">
        <f aca="false">F8*G8</f>
        <v>15</v>
      </c>
      <c r="I8" s="4" t="s">
        <v>18</v>
      </c>
      <c r="J8" s="4" t="s">
        <v>36</v>
      </c>
      <c r="K8" s="4" t="s">
        <v>20</v>
      </c>
    </row>
    <row r="9" customFormat="false" ht="23.85" hidden="false" customHeight="false" outlineLevel="0" collapsed="false">
      <c r="A9" s="4" t="s">
        <v>37</v>
      </c>
      <c r="B9" s="4" t="s">
        <v>38</v>
      </c>
      <c r="C9" s="4" t="s">
        <v>39</v>
      </c>
      <c r="D9" s="4" t="s">
        <v>40</v>
      </c>
      <c r="E9" s="4" t="s">
        <v>41</v>
      </c>
      <c r="F9" s="4" t="n">
        <v>3</v>
      </c>
      <c r="G9" s="4" t="n">
        <v>4</v>
      </c>
      <c r="H9" s="5" t="n">
        <f aca="false">F9*G9</f>
        <v>12</v>
      </c>
      <c r="I9" s="4" t="s">
        <v>18</v>
      </c>
      <c r="J9" s="4" t="s">
        <v>42</v>
      </c>
      <c r="K9" s="4" t="s">
        <v>20</v>
      </c>
    </row>
    <row r="10" customFormat="false" ht="15" hidden="false" customHeight="false" outlineLevel="0" collapsed="false">
      <c r="A10" s="4" t="s">
        <v>43</v>
      </c>
      <c r="B10" s="4" t="s">
        <v>44</v>
      </c>
      <c r="C10" s="4" t="s">
        <v>45</v>
      </c>
      <c r="D10" s="4" t="s">
        <v>46</v>
      </c>
      <c r="E10" s="4" t="s">
        <v>41</v>
      </c>
      <c r="F10" s="4" t="n">
        <v>3</v>
      </c>
      <c r="G10" s="4" t="n">
        <v>5</v>
      </c>
      <c r="H10" s="5" t="n">
        <f aca="false">F10*G10</f>
        <v>15</v>
      </c>
      <c r="I10" s="4" t="s">
        <v>18</v>
      </c>
      <c r="J10" s="4" t="s">
        <v>47</v>
      </c>
      <c r="K10" s="4" t="s">
        <v>20</v>
      </c>
    </row>
    <row r="11" customFormat="false" ht="23.85" hidden="false" customHeight="false" outlineLevel="0" collapsed="false">
      <c r="A11" s="4" t="s">
        <v>48</v>
      </c>
      <c r="B11" s="4" t="s">
        <v>44</v>
      </c>
      <c r="C11" s="4" t="s">
        <v>49</v>
      </c>
      <c r="D11" s="4" t="s">
        <v>50</v>
      </c>
      <c r="E11" s="4" t="s">
        <v>41</v>
      </c>
      <c r="F11" s="4" t="n">
        <v>2</v>
      </c>
      <c r="G11" s="4" t="n">
        <v>4</v>
      </c>
      <c r="H11" s="5" t="n">
        <f aca="false">F11*G11</f>
        <v>8</v>
      </c>
      <c r="I11" s="4" t="s">
        <v>18</v>
      </c>
      <c r="J11" s="4" t="s">
        <v>51</v>
      </c>
      <c r="K11" s="4" t="s">
        <v>20</v>
      </c>
    </row>
    <row r="12" customFormat="false" ht="15" hidden="false" customHeight="false" outlineLevel="0" collapsed="false">
      <c r="A12" s="4" t="s">
        <v>52</v>
      </c>
      <c r="B12" s="4" t="s">
        <v>53</v>
      </c>
      <c r="C12" s="4" t="s">
        <v>54</v>
      </c>
      <c r="D12" s="4" t="s">
        <v>55</v>
      </c>
      <c r="E12" s="4" t="s">
        <v>31</v>
      </c>
      <c r="F12" s="4" t="n">
        <v>4</v>
      </c>
      <c r="G12" s="4" t="n">
        <v>3</v>
      </c>
      <c r="H12" s="5" t="n">
        <f aca="false">F12*G12</f>
        <v>12</v>
      </c>
      <c r="I12" s="4" t="s">
        <v>18</v>
      </c>
      <c r="J12" s="4" t="s">
        <v>56</v>
      </c>
      <c r="K12" s="4" t="s">
        <v>20</v>
      </c>
    </row>
    <row r="13" customFormat="false" ht="15" hidden="false" customHeight="false" outlineLevel="0" collapsed="false">
      <c r="A13" s="4" t="s">
        <v>57</v>
      </c>
      <c r="B13" s="4" t="s">
        <v>22</v>
      </c>
      <c r="C13" s="4" t="s">
        <v>58</v>
      </c>
      <c r="D13" s="4" t="s">
        <v>59</v>
      </c>
      <c r="E13" s="4" t="s">
        <v>41</v>
      </c>
      <c r="F13" s="4" t="n">
        <v>2</v>
      </c>
      <c r="G13" s="4" t="n">
        <v>4</v>
      </c>
      <c r="H13" s="5" t="n">
        <f aca="false">F13*G13</f>
        <v>8</v>
      </c>
      <c r="I13" s="4" t="s">
        <v>60</v>
      </c>
      <c r="J13" s="4" t="s">
        <v>61</v>
      </c>
      <c r="K13" s="4" t="s">
        <v>20</v>
      </c>
    </row>
    <row r="14" customFormat="false" ht="23.85" hidden="false" customHeight="false" outlineLevel="0" collapsed="false">
      <c r="A14" s="4" t="s">
        <v>62</v>
      </c>
      <c r="B14" s="4" t="s">
        <v>63</v>
      </c>
      <c r="C14" s="4" t="s">
        <v>64</v>
      </c>
      <c r="D14" s="4" t="s">
        <v>65</v>
      </c>
      <c r="E14" s="4" t="s">
        <v>17</v>
      </c>
      <c r="F14" s="4" t="n">
        <v>3</v>
      </c>
      <c r="G14" s="4" t="n">
        <v>4</v>
      </c>
      <c r="H14" s="5" t="n">
        <f aca="false">F14*G14</f>
        <v>12</v>
      </c>
      <c r="I14" s="4" t="s">
        <v>60</v>
      </c>
      <c r="J14" s="4" t="s">
        <v>66</v>
      </c>
      <c r="K14" s="4" t="s">
        <v>20</v>
      </c>
    </row>
    <row r="15" customFormat="false" ht="23.85" hidden="false" customHeight="false" outlineLevel="0" collapsed="false">
      <c r="A15" s="4" t="s">
        <v>67</v>
      </c>
      <c r="B15" s="4" t="s">
        <v>68</v>
      </c>
      <c r="C15" s="4" t="s">
        <v>69</v>
      </c>
      <c r="D15" s="4" t="s">
        <v>70</v>
      </c>
      <c r="E15" s="4" t="s">
        <v>71</v>
      </c>
      <c r="F15" s="4" t="n">
        <v>2</v>
      </c>
      <c r="G15" s="4" t="n">
        <v>4</v>
      </c>
      <c r="H15" s="5" t="n">
        <f aca="false">F15*G15</f>
        <v>8</v>
      </c>
      <c r="I15" s="4" t="s">
        <v>60</v>
      </c>
      <c r="J15" s="4" t="s">
        <v>72</v>
      </c>
      <c r="K15" s="4" t="s">
        <v>20</v>
      </c>
    </row>
    <row r="16" customFormat="false" ht="23.85" hidden="false" customHeight="false" outlineLevel="0" collapsed="false">
      <c r="A16" s="4" t="s">
        <v>73</v>
      </c>
      <c r="B16" s="4" t="s">
        <v>44</v>
      </c>
      <c r="C16" s="4" t="s">
        <v>74</v>
      </c>
      <c r="D16" s="4" t="s">
        <v>75</v>
      </c>
      <c r="E16" s="4" t="s">
        <v>76</v>
      </c>
      <c r="F16" s="4" t="n">
        <v>3</v>
      </c>
      <c r="G16" s="4" t="n">
        <v>3</v>
      </c>
      <c r="H16" s="5" t="n">
        <f aca="false">F16*G16</f>
        <v>9</v>
      </c>
      <c r="I16" s="4" t="s">
        <v>18</v>
      </c>
      <c r="J16" s="4" t="s">
        <v>77</v>
      </c>
      <c r="K16" s="4" t="s">
        <v>20</v>
      </c>
    </row>
    <row r="17" customFormat="false" ht="23.85" hidden="false" customHeight="false" outlineLevel="0" collapsed="false">
      <c r="A17" s="4" t="s">
        <v>78</v>
      </c>
      <c r="B17" s="4" t="s">
        <v>53</v>
      </c>
      <c r="C17" s="4" t="s">
        <v>79</v>
      </c>
      <c r="D17" s="4" t="s">
        <v>80</v>
      </c>
      <c r="E17" s="4" t="s">
        <v>31</v>
      </c>
      <c r="F17" s="4" t="n">
        <v>3</v>
      </c>
      <c r="G17" s="4" t="n">
        <v>4</v>
      </c>
      <c r="H17" s="5" t="n">
        <f aca="false">F17*G17</f>
        <v>12</v>
      </c>
      <c r="I17" s="4" t="s">
        <v>18</v>
      </c>
      <c r="J17" s="4" t="s">
        <v>81</v>
      </c>
      <c r="K17" s="4" t="s">
        <v>20</v>
      </c>
    </row>
    <row r="18" customFormat="false" ht="15" hidden="false" customHeight="false" outlineLevel="0" collapsed="false">
      <c r="A18" s="4" t="s">
        <v>82</v>
      </c>
      <c r="B18" s="4" t="s">
        <v>83</v>
      </c>
      <c r="C18" s="4" t="s">
        <v>84</v>
      </c>
      <c r="D18" s="4" t="s">
        <v>85</v>
      </c>
      <c r="E18" s="4" t="s">
        <v>86</v>
      </c>
      <c r="F18" s="4" t="n">
        <v>4</v>
      </c>
      <c r="G18" s="4" t="n">
        <v>3</v>
      </c>
      <c r="H18" s="5" t="n">
        <f aca="false">F18*G18</f>
        <v>12</v>
      </c>
      <c r="I18" s="4" t="s">
        <v>18</v>
      </c>
      <c r="J18" s="4" t="s">
        <v>87</v>
      </c>
      <c r="K18" s="4" t="s">
        <v>20</v>
      </c>
    </row>
    <row r="19" customFormat="false" ht="15" hidden="false" customHeight="false" outlineLevel="0" collapsed="false">
      <c r="A19" s="4" t="s">
        <v>88</v>
      </c>
      <c r="B19" s="4" t="s">
        <v>28</v>
      </c>
      <c r="C19" s="4" t="s">
        <v>89</v>
      </c>
      <c r="D19" s="4" t="s">
        <v>90</v>
      </c>
      <c r="E19" s="4" t="s">
        <v>31</v>
      </c>
      <c r="F19" s="4" t="n">
        <v>3</v>
      </c>
      <c r="G19" s="4" t="n">
        <v>3</v>
      </c>
      <c r="H19" s="5" t="n">
        <f aca="false">F19*G19</f>
        <v>9</v>
      </c>
      <c r="I19" s="4" t="s">
        <v>18</v>
      </c>
      <c r="J19" s="4" t="s">
        <v>91</v>
      </c>
      <c r="K19" s="4" t="s">
        <v>20</v>
      </c>
    </row>
    <row r="20" customFormat="false" ht="23.85" hidden="false" customHeight="false" outlineLevel="0" collapsed="false">
      <c r="A20" s="4" t="s">
        <v>92</v>
      </c>
      <c r="B20" s="4" t="s">
        <v>44</v>
      </c>
      <c r="C20" s="4" t="s">
        <v>93</v>
      </c>
      <c r="D20" s="4" t="s">
        <v>94</v>
      </c>
      <c r="E20" s="4" t="s">
        <v>41</v>
      </c>
      <c r="F20" s="4" t="n">
        <v>3</v>
      </c>
      <c r="G20" s="4" t="n">
        <v>4</v>
      </c>
      <c r="H20" s="5" t="n">
        <f aca="false">F20*G20</f>
        <v>12</v>
      </c>
      <c r="I20" s="4" t="s">
        <v>60</v>
      </c>
      <c r="J20" s="4" t="s">
        <v>95</v>
      </c>
      <c r="K20" s="4" t="s">
        <v>20</v>
      </c>
    </row>
    <row r="21" customFormat="false" ht="15" hidden="false" customHeight="false" outlineLevel="0" collapsed="false">
      <c r="A21" s="4" t="s">
        <v>96</v>
      </c>
      <c r="B21" s="4" t="s">
        <v>53</v>
      </c>
      <c r="C21" s="4" t="s">
        <v>97</v>
      </c>
      <c r="D21" s="4" t="s">
        <v>98</v>
      </c>
      <c r="E21" s="4" t="s">
        <v>76</v>
      </c>
      <c r="F21" s="4" t="n">
        <v>3</v>
      </c>
      <c r="G21" s="4" t="n">
        <v>5</v>
      </c>
      <c r="H21" s="5" t="n">
        <f aca="false">F21*G21</f>
        <v>15</v>
      </c>
      <c r="I21" s="4" t="s">
        <v>18</v>
      </c>
      <c r="J21" s="4" t="s">
        <v>99</v>
      </c>
      <c r="K21" s="4" t="s">
        <v>20</v>
      </c>
    </row>
    <row r="22" customFormat="false" ht="15" hidden="false" customHeight="false" outlineLevel="0" collapsed="false">
      <c r="A22" s="4" t="s">
        <v>100</v>
      </c>
      <c r="B22" s="4" t="s">
        <v>101</v>
      </c>
      <c r="C22" s="4" t="s">
        <v>102</v>
      </c>
      <c r="D22" s="4" t="s">
        <v>103</v>
      </c>
      <c r="E22" s="4" t="s">
        <v>31</v>
      </c>
      <c r="F22" s="4" t="n">
        <v>3</v>
      </c>
      <c r="G22" s="4" t="n">
        <v>3</v>
      </c>
      <c r="H22" s="5" t="n">
        <f aca="false">F22*G22</f>
        <v>9</v>
      </c>
      <c r="I22" s="4" t="s">
        <v>18</v>
      </c>
      <c r="J22" s="4" t="s">
        <v>104</v>
      </c>
      <c r="K22" s="4" t="s">
        <v>20</v>
      </c>
    </row>
  </sheetData>
  <autoFilter ref="A4:K22"/>
  <dataValidations count="2">
    <dataValidation allowBlank="true" errorStyle="stop" operator="between" showDropDown="false" showErrorMessage="false" showInputMessage="false" sqref="K5:K52" type="list">
      <formula1>"Aberto,Em tratamento,Mitigado,Aceito,Encerrado"</formula1>
      <formula2>0</formula2>
    </dataValidation>
    <dataValidation allowBlank="true" errorStyle="stop" operator="between" showDropDown="false" showErrorMessage="false" showInputMessage="false" sqref="I5:I52" type="list">
      <formula1>"Evitar,Mitigar,Transferir,Aceitar"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105</v>
      </c>
    </row>
    <row r="3" customFormat="false" ht="15" hidden="false" customHeight="false" outlineLevel="0" collapsed="false">
      <c r="A3" s="6" t="s">
        <v>106</v>
      </c>
      <c r="B3" s="6" t="n">
        <f aca="false">COUNTA('Risk Register'!A5:A200)</f>
        <v>18</v>
      </c>
    </row>
    <row r="4" customFormat="false" ht="15" hidden="false" customHeight="false" outlineLevel="0" collapsed="false">
      <c r="A4" s="6" t="s">
        <v>107</v>
      </c>
      <c r="B4" s="6" t="n">
        <f aca="false">COUNTIF('Risk Register'!K5:K200,"Aberto")</f>
        <v>18</v>
      </c>
    </row>
    <row r="5" customFormat="false" ht="15" hidden="false" customHeight="false" outlineLevel="0" collapsed="false">
      <c r="A5" s="6" t="s">
        <v>108</v>
      </c>
      <c r="B5" s="6" t="n">
        <f aca="false">MAX('Risk Register'!H5:H22)</f>
        <v>20</v>
      </c>
    </row>
    <row r="6" customFormat="false" ht="15" hidden="false" customHeight="false" outlineLevel="0" collapsed="false">
      <c r="A6" s="6" t="s">
        <v>109</v>
      </c>
      <c r="B6" s="6" t="n">
        <f aca="false">ROUND(AVERAGE('Risk Register'!H5:H22),1)</f>
        <v>11.9</v>
      </c>
    </row>
    <row r="7" customFormat="false" ht="15" hidden="false" customHeight="false" outlineLevel="0" collapsed="false">
      <c r="A7" s="6" t="s">
        <v>110</v>
      </c>
      <c r="B7" s="6" t="n">
        <f aca="false">COUNTIF('Risk Register'!H5:H22,"&gt;=15")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LibreOffice/25.2.5.2$Linux_X86_64 LibreOffice_project/03d19516eb2e1dd5d4ccd751a0d6f35f35e08022</Application>
  <AppVersion>15.0000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2026-09-22T17:31:58.3317132Z</dcterms:created>
  <dc:creator>MACIEL LIMA DE JESUS, ALAN</dc:creator>
  <dc:description/>
  <dc:language>en-US</dc:language>
  <lastModifiedBy>MACIEL LIMA DE JESUS, ALAN</lastModifiedBy>
  <dcterms:modified xsi:type="dcterms:W3CDTF">2026-09-22T17:31:58.3317132Z</dcterms:modified>
  <revision>0</revision>
  <dc:subject/>
  <dc:title/>
</coreProperties>
</file>

<file path=docProps/custom.xml><?xml version="1.0" encoding="utf-8"?>
<Properties xmlns="http://schemas.openxmlformats.org/officeDocument/2006/custom-properties" xmlns:vt="http://schemas.openxmlformats.org/officeDocument/2006/docPropsVTypes"/>
</file>