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 Questions" sheetId="1" state="visible" r:id="rId3"/>
    <sheet name="Summary" sheetId="2" state="visible" r:id="rId4"/>
  </sheets>
  <definedNames>
    <definedName function="false" hidden="true" localSheetId="0" name="_xlnm._FilterDatabase" vbProcedure="false">'Open Questions'!$A$4:$I$25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<sst xmlns="http://schemas.openxmlformats.org/spreadsheetml/2006/main" count="209" uniqueCount="128">
  <si>
    <t xml:space="preserve">XLS-003 — Open Questions Register</t>
  </si>
  <si>
    <t xml:space="preserve">PMOC Software | Fase 1 | v0.2 DRAFT | 22/09/2026 | Origem das alterações: Services.NET Phase 1 Audit — Approved | Status: aguardando segunda revisão formal da Services.NET | Questão sem resposta não pode ser substituída por suposição.</t>
  </si>
  <si>
    <t xml:space="preserve">ID</t>
  </si>
  <si>
    <t xml:space="preserve">Categoria</t>
  </si>
  <si>
    <t xml:space="preserve">Questão</t>
  </si>
  <si>
    <t xml:space="preserve">Autoridade responsável pela resposta</t>
  </si>
  <si>
    <t xml:space="preserve">Impacto se não respondida</t>
  </si>
  <si>
    <t xml:space="preserve">Prioridade</t>
  </si>
  <si>
    <t xml:space="preserve">Status</t>
  </si>
  <si>
    <t xml:space="preserve">Observação</t>
  </si>
  <si>
    <t xml:space="preserve">Alterada em</t>
  </si>
  <si>
    <t xml:space="preserve">OQ-001</t>
  </si>
  <si>
    <t xml:space="preserve">Produto</t>
  </si>
  <si>
    <t xml:space="preserve">Qual será o nome comercial do produto e quando será decidido?</t>
  </si>
  <si>
    <t xml:space="preserve">Patrocinador (STK-001)</t>
  </si>
  <si>
    <t xml:space="preserve">Marketing, domínio, identidade visual</t>
  </si>
  <si>
    <t xml:space="preserve">Média</t>
  </si>
  <si>
    <t xml:space="preserve">Aberta</t>
  </si>
  <si>
    <t xml:space="preserve">Não será arbitrado pela engenharia</t>
  </si>
  <si>
    <t xml:space="preserve">v0.1</t>
  </si>
  <si>
    <t xml:space="preserve">OQ-002</t>
  </si>
  <si>
    <t xml:space="preserve">Governança</t>
  </si>
  <si>
    <t xml:space="preserve">Quem é o patrocinador formal do projeto?</t>
  </si>
  <si>
    <t xml:space="preserve">Services.NET</t>
  </si>
  <si>
    <t xml:space="preserve">Autoridade de aprovação da Fase 1</t>
  </si>
  <si>
    <t xml:space="preserve">Alta</t>
  </si>
  <si>
    <t xml:space="preserve">Bloqueia aprovação formal</t>
  </si>
  <si>
    <t xml:space="preserve">OQ-003</t>
  </si>
  <si>
    <t xml:space="preserve">Quem exerce o papel de Product Owner?</t>
  </si>
  <si>
    <t xml:space="preserve">Priorização e aceite</t>
  </si>
  <si>
    <t xml:space="preserve">Bloqueia backlog</t>
  </si>
  <si>
    <t xml:space="preserve">OQ-004</t>
  </si>
  <si>
    <t xml:space="preserve">Regulatória</t>
  </si>
  <si>
    <t xml:space="preserve">Qual é a extensão da aplicabilidade da ABNT NBR 17037 ao produto e a cada requisito dele derivado, considerando a revogação da RE 9/2003 pela RDC 886/2024 e a orientação oficial da ANVISA indicando a norma como referência? Quais parâmetros são exigíveis e a partir de qual edição?</t>
  </si>
  <si>
    <t xml:space="preserve">Jurídico (STK-007) + Resp. técnico (STK-012)</t>
  </si>
  <si>
    <t xml:space="preserve">Conteúdo de parâmetros, faixas e checklists</t>
  </si>
  <si>
    <t xml:space="preserve">Reformulada na v0.2: deixou de perguntar 'qual referencial existe' e passou a perguntar 'qual a extensão da aplicabilidade'. Norma técnica não equivale a lei</t>
  </si>
  <si>
    <t xml:space="preserve">v0.2 — reformulada</t>
  </si>
  <si>
    <t xml:space="preserve">OQ-005</t>
  </si>
  <si>
    <t xml:space="preserve">Quais são as metas numéricas das métricas de sucesso?</t>
  </si>
  <si>
    <t xml:space="preserve">Product Owner (STK-002)</t>
  </si>
  <si>
    <t xml:space="preserve">Avaliação objetiva do MVP</t>
  </si>
  <si>
    <t xml:space="preserve">—</t>
  </si>
  <si>
    <t xml:space="preserve">OQ-006</t>
  </si>
  <si>
    <t xml:space="preserve">Legal</t>
  </si>
  <si>
    <t xml:space="preserve">Qual nível de identificação, manifestação de vontade, autoria, integridade e não repúdio é necessário para cada ato ou documento produzido pela plataforma, considerando legislação, exigências contratuais, fiscalização e finalidade probatória? A análise poderá distinguir aceite/acknowledgement, assinatura eletrônica simples, avançada, qualificada, baseada em ICP-Brasil e provedor externo de assinatura.</t>
  </si>
  <si>
    <t xml:space="preserve">Jurídico (STK-007), consultado o DPO (STK-021)</t>
  </si>
  <si>
    <t xml:space="preserve">Valor probatório, arquitetura da OS, UX de campo e CAP-054</t>
  </si>
  <si>
    <t xml:space="preserve">Reformulada na v0.2. Nenhuma solução tecnológica será escolhida nesta fase</t>
  </si>
  <si>
    <t xml:space="preserve">OQ-007</t>
  </si>
  <si>
    <t xml:space="preserve">Planejamento</t>
  </si>
  <si>
    <t xml:space="preserve">Qual equipe, orçamento e prazo estão disponíveis?</t>
  </si>
  <si>
    <t xml:space="preserve">Roadmap com datas</t>
  </si>
  <si>
    <t xml:space="preserve">Roadmap permanece sem datas até resposta</t>
  </si>
  <si>
    <t xml:space="preserve">OQ-008</t>
  </si>
  <si>
    <t xml:space="preserve">UX</t>
  </si>
  <si>
    <t xml:space="preserve">Qual nível de conformidade de acessibilidade será exigido?</t>
  </si>
  <si>
    <t xml:space="preserve">Requisitos de interface</t>
  </si>
  <si>
    <t xml:space="preserve">OQ-009</t>
  </si>
  <si>
    <t xml:space="preserve">As personas do DOC-005 correspondem aos papéis reais do piloto?</t>
  </si>
  <si>
    <t xml:space="preserve">Cliente-piloto (STK-010)</t>
  </si>
  <si>
    <t xml:space="preserve">Desenho de UX e permissões</t>
  </si>
  <si>
    <t xml:space="preserve">Validar na Fase 2</t>
  </si>
  <si>
    <t xml:space="preserve">OQ-010</t>
  </si>
  <si>
    <t xml:space="preserve">Qual é o cliente-piloto e ele está formalmente comprometido?</t>
  </si>
  <si>
    <t xml:space="preserve">Fonte primária de requisitos</t>
  </si>
  <si>
    <t xml:space="preserve">Bloqueia Fase 2</t>
  </si>
  <si>
    <t xml:space="preserve">OQ-011</t>
  </si>
  <si>
    <t xml:space="preserve">Operação</t>
  </si>
  <si>
    <t xml:space="preserve">Quem opera a plataforma e sob qual SLA?</t>
  </si>
  <si>
    <t xml:space="preserve">NFRs de disponibilidade e suporte</t>
  </si>
  <si>
    <t xml:space="preserve">Ligado a ASM-002</t>
  </si>
  <si>
    <t xml:space="preserve">OQ-012</t>
  </si>
  <si>
    <t xml:space="preserve">Confirmar formalmente eventual alteração, revogação, consolidação ou extensão atual da Portaria GM/MS nº 3.523/1998 para fins da matriz regulatória oficial do produto, incluindo o limite de capacidade nela previsto e sua relação com a exigência de responsável técnico (Regra B).</t>
  </si>
  <si>
    <t xml:space="preserve">Jurídico (STK-007)</t>
  </si>
  <si>
    <t xml:space="preserve">Procedimentos mínimos de manutenção e Regra B</t>
  </si>
  <si>
    <t xml:space="preserve">Reformulada na v0.2. A Portaria permanece disponível em fonte oficial do Ministério da Saúde e é referenciada em documentação regulatória posterior; há fortes evidências de aplicação atual. O que falta é a confirmação jurídica formal, não evidência de uso</t>
  </si>
  <si>
    <t xml:space="preserve">OQ-013</t>
  </si>
  <si>
    <t xml:space="preserve">Quais exigências estaduais e municipais aplicáveis ao piloto existem além da esfera federal?</t>
  </si>
  <si>
    <t xml:space="preserve">Requisitos adicionais no modelo de conformidade</t>
  </si>
  <si>
    <t xml:space="preserve">OQ-014</t>
  </si>
  <si>
    <t xml:space="preserve">Negócio</t>
  </si>
  <si>
    <t xml:space="preserve">O escopo contratual (CAP-013, CAP-014) deve ser modelado no MVP?</t>
  </si>
  <si>
    <t xml:space="preserve">Modelo de domínio e planejamento</t>
  </si>
  <si>
    <t xml:space="preserve">OQ-015</t>
  </si>
  <si>
    <t xml:space="preserve">Privacidade</t>
  </si>
  <si>
    <t xml:space="preserve">Quais bases legais da LGPD se aplicam a cada categoria de dado tratada, e quais prazos de retenção e direitos de titular decorrem delas?</t>
  </si>
  <si>
    <t xml:space="preserve">DPO (STK-021)</t>
  </si>
  <si>
    <t xml:space="preserve">Inventário de dados e matriz de retenção</t>
  </si>
  <si>
    <t xml:space="preserve">Responsável alterado na v0.2 de Jurídico/DPO para DPO. Não será concluído pela engenharia</t>
  </si>
  <si>
    <t xml:space="preserve">v0.2 — responsável corrigido</t>
  </si>
  <si>
    <t xml:space="preserve">OQ-016</t>
  </si>
  <si>
    <t xml:space="preserve">Técnica</t>
  </si>
  <si>
    <t xml:space="preserve">Qual provedor de nuvem, storage e identidade será adotado?</t>
  </si>
  <si>
    <t xml:space="preserve">Architect (STK-003)</t>
  </si>
  <si>
    <t xml:space="preserve">ADRs de infraestrutura</t>
  </si>
  <si>
    <t xml:space="preserve">Fase 9</t>
  </si>
  <si>
    <t xml:space="preserve">OQ-017</t>
  </si>
  <si>
    <t xml:space="preserve">O cliente final terá acesso de consulta já no MVP?</t>
  </si>
  <si>
    <t xml:space="preserve">Escopo e segurança</t>
  </si>
  <si>
    <t xml:space="preserve">Hoje classificado como Pós-MVP</t>
  </si>
  <si>
    <t xml:space="preserve">OQ-018</t>
  </si>
  <si>
    <t xml:space="preserve">Qual granularidade mínima de ativo o piloto exige (equipamento ou componente)?</t>
  </si>
  <si>
    <t xml:space="preserve">Resp. técnico (STK-012)</t>
  </si>
  <si>
    <t xml:space="preserve">Modelo de domínio e checklists</t>
  </si>
  <si>
    <t xml:space="preserve">Ligado a ASM-010</t>
  </si>
  <si>
    <t xml:space="preserve">OQ-019</t>
  </si>
  <si>
    <t xml:space="preserve">Qual é a referência oficial exata (documento, identificação, URL e data de publicação) da orientação da ANVISA que indica a ABNT NBR 17037 como referência de qualidade do ar interior, para registro na matriz regulatória do produto?</t>
  </si>
  <si>
    <t xml:space="preserve">Rastreabilidade da fonte oficial na matriz regulatória</t>
  </si>
  <si>
    <t xml:space="preserve">NOVA na v0.2. A existência da orientação foi informada pela auditoria da Services.NET; a referência bibliográfica exata ainda precisa ser registrada em fonte primária</t>
  </si>
  <si>
    <t xml:space="preserve">v0.2 — nova</t>
  </si>
  <si>
    <t xml:space="preserve">OQ-020</t>
  </si>
  <si>
    <t xml:space="preserve">Qual mecanismo preservará o estado de referência de um PMOC emitido (inventário aplicável, versão do plano, versões das regras, referências regulatórias, responsável técnico e timestamp), de modo que o documento histórico não mude de significado por alteração posterior de cadastro?</t>
  </si>
  <si>
    <t xml:space="preserve">Modelo de domínio (Fase 3), modelo de dados (Fase 6), CAP-037 e AC-MVP-02</t>
  </si>
  <si>
    <t xml:space="preserve">NOVA na v0.2. Registrada como princípio PP-13; entidades e persistência NÃO serão definidas na Fase 1</t>
  </si>
  <si>
    <t xml:space="preserve">OQ-021</t>
  </si>
  <si>
    <t xml:space="preserve">Confirmar formalmente os critérios da Regra A (aplicabilidade do PMOC, associada à Lei nº 13.589/2018) e da Regra B (exigência de responsável técnico, associada à Portaria GM/MS nº 3.523/1998 e ao limite de capacidade nela previsto), e se o limite de 5 TR / 60.000 BTU/h integra ou não a Regra A.</t>
  </si>
  <si>
    <t xml:space="preserve">Modelagem de ApplicabilityRule (CAP-035) e escopo de obrigação do cliente</t>
  </si>
  <si>
    <t xml:space="preserve">NOVA na v0.2. Substitui o tratamento anterior do tema como simples divergência sobre limiar de capacidade</t>
  </si>
  <si>
    <t xml:space="preserve">XLS-003 — Resumo (v0.2)</t>
  </si>
  <si>
    <t xml:space="preserve">Contagens calculadas sobre as linhas de dados (a linha de cabeçalho está na linha 4 e é excluída).</t>
  </si>
  <si>
    <t xml:space="preserve">Questões registradas</t>
  </si>
  <si>
    <t xml:space="preserve">Abertas</t>
  </si>
  <si>
    <t xml:space="preserve">Prioridade alta</t>
  </si>
  <si>
    <t xml:space="preserve">Esperado — questões</t>
  </si>
  <si>
    <t xml:space="preserve">Novas na v0.2</t>
  </si>
  <si>
    <t xml:space="preserve">Reformuladas na v0.2</t>
  </si>
  <si>
    <t xml:space="preserve">Removidas na v0.2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</si>
</sst>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7" min="6" style="0" width="10"/>
    <col collapsed="false" customWidth="true" hidden="false" outlineLevel="0" max="8" min="8" style="0" width="50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17</v>
      </c>
      <c r="H6" s="4" t="s">
        <v>26</v>
      </c>
      <c r="I6" s="4" t="s">
        <v>19</v>
      </c>
    </row>
    <row r="7" customFormat="false" ht="15" hidden="false" customHeight="false" outlineLevel="0" collapsed="false">
      <c r="A7" s="4" t="s">
        <v>27</v>
      </c>
      <c r="B7" s="4" t="s">
        <v>21</v>
      </c>
      <c r="C7" s="4" t="s">
        <v>28</v>
      </c>
      <c r="D7" s="4" t="s">
        <v>23</v>
      </c>
      <c r="E7" s="4" t="s">
        <v>29</v>
      </c>
      <c r="F7" s="4" t="s">
        <v>25</v>
      </c>
      <c r="G7" s="4" t="s">
        <v>17</v>
      </c>
      <c r="H7" s="4" t="s">
        <v>30</v>
      </c>
      <c r="I7" s="4" t="s">
        <v>19</v>
      </c>
    </row>
    <row r="8" customFormat="false" ht="57.45" hidden="false" customHeight="false" outlineLevel="0" collapsed="false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25</v>
      </c>
      <c r="G8" s="5" t="s">
        <v>17</v>
      </c>
      <c r="H8" s="5" t="s">
        <v>36</v>
      </c>
      <c r="I8" s="5" t="s">
        <v>37</v>
      </c>
    </row>
    <row r="9" customFormat="false" ht="15" hidden="false" customHeight="false" outlineLevel="0" collapsed="false">
      <c r="A9" s="4" t="s">
        <v>38</v>
      </c>
      <c r="B9" s="4" t="s">
        <v>12</v>
      </c>
      <c r="C9" s="4" t="s">
        <v>39</v>
      </c>
      <c r="D9" s="4" t="s">
        <v>40</v>
      </c>
      <c r="E9" s="4" t="s">
        <v>41</v>
      </c>
      <c r="F9" s="4" t="s">
        <v>16</v>
      </c>
      <c r="G9" s="4" t="s">
        <v>17</v>
      </c>
      <c r="H9" s="4" t="s">
        <v>42</v>
      </c>
      <c r="I9" s="4" t="s">
        <v>19</v>
      </c>
    </row>
    <row r="10" customFormat="false" ht="79.85" hidden="false" customHeight="false" outlineLevel="0" collapsed="false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25</v>
      </c>
      <c r="G10" s="5" t="s">
        <v>17</v>
      </c>
      <c r="H10" s="5" t="s">
        <v>48</v>
      </c>
      <c r="I10" s="5" t="s">
        <v>37</v>
      </c>
    </row>
    <row r="11" customFormat="false" ht="15" hidden="false" customHeight="false" outlineLevel="0" collapsed="false">
      <c r="A11" s="4" t="s">
        <v>49</v>
      </c>
      <c r="B11" s="4" t="s">
        <v>50</v>
      </c>
      <c r="C11" s="4" t="s">
        <v>51</v>
      </c>
      <c r="D11" s="4" t="s">
        <v>14</v>
      </c>
      <c r="E11" s="4" t="s">
        <v>52</v>
      </c>
      <c r="F11" s="4" t="s">
        <v>25</v>
      </c>
      <c r="G11" s="4" t="s">
        <v>17</v>
      </c>
      <c r="H11" s="4" t="s">
        <v>53</v>
      </c>
      <c r="I11" s="4" t="s">
        <v>19</v>
      </c>
    </row>
    <row r="12" customFormat="false" ht="15" hidden="false" customHeight="false" outlineLevel="0" collapsed="false">
      <c r="A12" s="4" t="s">
        <v>54</v>
      </c>
      <c r="B12" s="4" t="s">
        <v>55</v>
      </c>
      <c r="C12" s="4" t="s">
        <v>56</v>
      </c>
      <c r="D12" s="4" t="s">
        <v>40</v>
      </c>
      <c r="E12" s="4" t="s">
        <v>57</v>
      </c>
      <c r="F12" s="4" t="s">
        <v>16</v>
      </c>
      <c r="G12" s="4" t="s">
        <v>17</v>
      </c>
      <c r="H12" s="4" t="s">
        <v>42</v>
      </c>
      <c r="I12" s="4" t="s">
        <v>19</v>
      </c>
    </row>
    <row r="13" customFormat="false" ht="15" hidden="false" customHeight="false" outlineLevel="0" collapsed="false">
      <c r="A13" s="4" t="s">
        <v>58</v>
      </c>
      <c r="B13" s="4" t="s">
        <v>55</v>
      </c>
      <c r="C13" s="4" t="s">
        <v>59</v>
      </c>
      <c r="D13" s="4" t="s">
        <v>60</v>
      </c>
      <c r="E13" s="4" t="s">
        <v>61</v>
      </c>
      <c r="F13" s="4" t="s">
        <v>25</v>
      </c>
      <c r="G13" s="4" t="s">
        <v>17</v>
      </c>
      <c r="H13" s="4" t="s">
        <v>62</v>
      </c>
      <c r="I13" s="4" t="s">
        <v>19</v>
      </c>
    </row>
    <row r="14" customFormat="false" ht="15" hidden="false" customHeight="false" outlineLevel="0" collapsed="false">
      <c r="A14" s="4" t="s">
        <v>63</v>
      </c>
      <c r="B14" s="4" t="s">
        <v>12</v>
      </c>
      <c r="C14" s="4" t="s">
        <v>64</v>
      </c>
      <c r="D14" s="4" t="s">
        <v>23</v>
      </c>
      <c r="E14" s="4" t="s">
        <v>65</v>
      </c>
      <c r="F14" s="4" t="s">
        <v>25</v>
      </c>
      <c r="G14" s="4" t="s">
        <v>17</v>
      </c>
      <c r="H14" s="4" t="s">
        <v>66</v>
      </c>
      <c r="I14" s="4" t="s">
        <v>19</v>
      </c>
    </row>
    <row r="15" customFormat="false" ht="15" hidden="false" customHeight="false" outlineLevel="0" collapsed="false">
      <c r="A15" s="4" t="s">
        <v>67</v>
      </c>
      <c r="B15" s="4" t="s">
        <v>68</v>
      </c>
      <c r="C15" s="4" t="s">
        <v>69</v>
      </c>
      <c r="D15" s="4" t="s">
        <v>14</v>
      </c>
      <c r="E15" s="4" t="s">
        <v>70</v>
      </c>
      <c r="F15" s="4" t="s">
        <v>25</v>
      </c>
      <c r="G15" s="4" t="s">
        <v>17</v>
      </c>
      <c r="H15" s="4" t="s">
        <v>71</v>
      </c>
      <c r="I15" s="4" t="s">
        <v>19</v>
      </c>
    </row>
    <row r="16" customFormat="false" ht="57.45" hidden="false" customHeight="false" outlineLevel="0" collapsed="false">
      <c r="A16" s="5" t="s">
        <v>72</v>
      </c>
      <c r="B16" s="5" t="s">
        <v>32</v>
      </c>
      <c r="C16" s="5" t="s">
        <v>73</v>
      </c>
      <c r="D16" s="5" t="s">
        <v>74</v>
      </c>
      <c r="E16" s="5" t="s">
        <v>75</v>
      </c>
      <c r="F16" s="5" t="s">
        <v>25</v>
      </c>
      <c r="G16" s="5" t="s">
        <v>17</v>
      </c>
      <c r="H16" s="5" t="s">
        <v>76</v>
      </c>
      <c r="I16" s="5" t="s">
        <v>37</v>
      </c>
    </row>
    <row r="17" customFormat="false" ht="23.85" hidden="false" customHeight="false" outlineLevel="0" collapsed="false">
      <c r="A17" s="4" t="s">
        <v>77</v>
      </c>
      <c r="B17" s="4" t="s">
        <v>32</v>
      </c>
      <c r="C17" s="4" t="s">
        <v>78</v>
      </c>
      <c r="D17" s="4" t="s">
        <v>74</v>
      </c>
      <c r="E17" s="4" t="s">
        <v>79</v>
      </c>
      <c r="F17" s="4" t="s">
        <v>16</v>
      </c>
      <c r="G17" s="4" t="s">
        <v>17</v>
      </c>
      <c r="H17" s="4" t="s">
        <v>42</v>
      </c>
      <c r="I17" s="4" t="s">
        <v>19</v>
      </c>
    </row>
    <row r="18" customFormat="false" ht="15" hidden="false" customHeight="false" outlineLevel="0" collapsed="false">
      <c r="A18" s="4" t="s">
        <v>80</v>
      </c>
      <c r="B18" s="4" t="s">
        <v>81</v>
      </c>
      <c r="C18" s="4" t="s">
        <v>82</v>
      </c>
      <c r="D18" s="4" t="s">
        <v>40</v>
      </c>
      <c r="E18" s="4" t="s">
        <v>83</v>
      </c>
      <c r="F18" s="4" t="s">
        <v>16</v>
      </c>
      <c r="G18" s="4" t="s">
        <v>17</v>
      </c>
      <c r="H18" s="4" t="s">
        <v>42</v>
      </c>
      <c r="I18" s="4" t="s">
        <v>19</v>
      </c>
    </row>
    <row r="19" customFormat="false" ht="35.05" hidden="false" customHeight="false" outlineLevel="0" collapsed="false">
      <c r="A19" s="5" t="s">
        <v>84</v>
      </c>
      <c r="B19" s="5" t="s">
        <v>85</v>
      </c>
      <c r="C19" s="5" t="s">
        <v>86</v>
      </c>
      <c r="D19" s="5" t="s">
        <v>87</v>
      </c>
      <c r="E19" s="5" t="s">
        <v>88</v>
      </c>
      <c r="F19" s="5" t="s">
        <v>25</v>
      </c>
      <c r="G19" s="5" t="s">
        <v>17</v>
      </c>
      <c r="H19" s="5" t="s">
        <v>89</v>
      </c>
      <c r="I19" s="5" t="s">
        <v>90</v>
      </c>
    </row>
    <row r="20" customFormat="false" ht="15" hidden="false" customHeight="false" outlineLevel="0" collapsed="false">
      <c r="A20" s="4" t="s">
        <v>91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16</v>
      </c>
      <c r="G20" s="4" t="s">
        <v>17</v>
      </c>
      <c r="H20" s="4" t="s">
        <v>96</v>
      </c>
      <c r="I20" s="4" t="s">
        <v>19</v>
      </c>
    </row>
    <row r="21" customFormat="false" ht="15" hidden="false" customHeight="false" outlineLevel="0" collapsed="false">
      <c r="A21" s="4" t="s">
        <v>97</v>
      </c>
      <c r="B21" s="4" t="s">
        <v>12</v>
      </c>
      <c r="C21" s="4" t="s">
        <v>98</v>
      </c>
      <c r="D21" s="4" t="s">
        <v>40</v>
      </c>
      <c r="E21" s="4" t="s">
        <v>99</v>
      </c>
      <c r="F21" s="4" t="s">
        <v>16</v>
      </c>
      <c r="G21" s="4" t="s">
        <v>17</v>
      </c>
      <c r="H21" s="4" t="s">
        <v>100</v>
      </c>
      <c r="I21" s="4" t="s">
        <v>19</v>
      </c>
    </row>
    <row r="22" customFormat="false" ht="23.85" hidden="false" customHeight="false" outlineLevel="0" collapsed="false">
      <c r="A22" s="4" t="s">
        <v>101</v>
      </c>
      <c r="B22" s="4" t="s">
        <v>92</v>
      </c>
      <c r="C22" s="4" t="s">
        <v>102</v>
      </c>
      <c r="D22" s="4" t="s">
        <v>103</v>
      </c>
      <c r="E22" s="4" t="s">
        <v>104</v>
      </c>
      <c r="F22" s="4" t="s">
        <v>25</v>
      </c>
      <c r="G22" s="4" t="s">
        <v>17</v>
      </c>
      <c r="H22" s="4" t="s">
        <v>105</v>
      </c>
      <c r="I22" s="4" t="s">
        <v>19</v>
      </c>
    </row>
    <row r="23" customFormat="false" ht="46.25" hidden="false" customHeight="false" outlineLevel="0" collapsed="false">
      <c r="A23" s="5" t="s">
        <v>106</v>
      </c>
      <c r="B23" s="5" t="s">
        <v>32</v>
      </c>
      <c r="C23" s="5" t="s">
        <v>107</v>
      </c>
      <c r="D23" s="5" t="s">
        <v>74</v>
      </c>
      <c r="E23" s="5" t="s">
        <v>108</v>
      </c>
      <c r="F23" s="5" t="s">
        <v>25</v>
      </c>
      <c r="G23" s="5" t="s">
        <v>17</v>
      </c>
      <c r="H23" s="5" t="s">
        <v>109</v>
      </c>
      <c r="I23" s="5" t="s">
        <v>110</v>
      </c>
    </row>
    <row r="24" customFormat="false" ht="57.45" hidden="false" customHeight="false" outlineLevel="0" collapsed="false">
      <c r="A24" s="5" t="s">
        <v>111</v>
      </c>
      <c r="B24" s="5" t="s">
        <v>92</v>
      </c>
      <c r="C24" s="5" t="s">
        <v>112</v>
      </c>
      <c r="D24" s="5" t="s">
        <v>94</v>
      </c>
      <c r="E24" s="5" t="s">
        <v>113</v>
      </c>
      <c r="F24" s="5" t="s">
        <v>25</v>
      </c>
      <c r="G24" s="5" t="s">
        <v>17</v>
      </c>
      <c r="H24" s="5" t="s">
        <v>114</v>
      </c>
      <c r="I24" s="5" t="s">
        <v>110</v>
      </c>
    </row>
    <row r="25" customFormat="false" ht="57.45" hidden="false" customHeight="false" outlineLevel="0" collapsed="false">
      <c r="A25" s="5" t="s">
        <v>115</v>
      </c>
      <c r="B25" s="5" t="s">
        <v>32</v>
      </c>
      <c r="C25" s="5" t="s">
        <v>116</v>
      </c>
      <c r="D25" s="5" t="s">
        <v>34</v>
      </c>
      <c r="E25" s="5" t="s">
        <v>117</v>
      </c>
      <c r="F25" s="5" t="s">
        <v>25</v>
      </c>
      <c r="G25" s="5" t="s">
        <v>17</v>
      </c>
      <c r="H25" s="5" t="s">
        <v>118</v>
      </c>
      <c r="I25" s="5" t="s">
        <v>110</v>
      </c>
    </row>
  </sheetData>
  <autoFilter ref="A4:I25"/>
  <dataValidations count="2">
    <dataValidation allowBlank="true" errorStyle="stop" operator="between" showDropDown="false" showErrorMessage="false" showInputMessage="false" sqref="G5:G25" type="list">
      <formula1>"Aberta,Em análise,Respondida,Descartada"</formula1>
      <formula2>0</formula2>
    </dataValidation>
    <dataValidation allowBlank="true" errorStyle="stop" operator="between" showDropDown="false" showErrorMessage="false" showInputMessage="false" sqref="F5:F25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6" t="s">
        <v>121</v>
      </c>
      <c r="B4" s="6" t="n">
        <f aca="false">COUNTA('Open Questions'!A5:A200)</f>
        <v>21</v>
      </c>
    </row>
    <row r="5" customFormat="false" ht="15" hidden="false" customHeight="false" outlineLevel="0" collapsed="false">
      <c r="A5" s="6" t="s">
        <v>122</v>
      </c>
      <c r="B5" s="6" t="n">
        <f aca="false">COUNTIF('Open Questions'!G5:G200,"Aberta")</f>
        <v>21</v>
      </c>
    </row>
    <row r="6" customFormat="false" ht="15" hidden="false" customHeight="false" outlineLevel="0" collapsed="false">
      <c r="A6" s="6" t="s">
        <v>123</v>
      </c>
      <c r="B6" s="6" t="n">
        <f aca="false">COUNTIF('Open Questions'!F5:F200,"Alta")</f>
        <v>14</v>
      </c>
    </row>
    <row r="7" customFormat="false" ht="15" hidden="false" customHeight="false" outlineLevel="0" collapsed="false">
      <c r="A7" s="6"/>
      <c r="B7" s="6"/>
    </row>
    <row r="8" customFormat="false" ht="15" hidden="false" customHeight="false" outlineLevel="0" collapsed="false">
      <c r="A8" s="6" t="s">
        <v>124</v>
      </c>
      <c r="B8" s="6" t="n">
        <v>21</v>
      </c>
    </row>
    <row r="9" customFormat="false" ht="15" hidden="false" customHeight="false" outlineLevel="0" collapsed="false">
      <c r="A9" s="6" t="s">
        <v>125</v>
      </c>
      <c r="B9" s="6" t="n">
        <v>3</v>
      </c>
    </row>
    <row r="10" customFormat="false" ht="15" hidden="false" customHeight="false" outlineLevel="0" collapsed="false">
      <c r="A10" s="6" t="s">
        <v>126</v>
      </c>
      <c r="B10" s="6" t="n">
        <v>4</v>
      </c>
    </row>
    <row r="11" customFormat="false" ht="15" hidden="false" customHeight="false" outlineLevel="0" collapsed="false">
      <c r="A11" s="6" t="s">
        <v>127</v>
      </c>
      <c r="B11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2026-09-22T20:35:43.2575954Z</dcterms:created>
  <dc:creator>MACIEL LIMA DE JESUS, ALAN</dc:creator>
  <dc:description/>
  <dc:language>en-US</dc:language>
  <lastModifiedBy>MACIEL LIMA DE JESUS, ALAN</lastModifiedBy>
  <dcterms:modified xsi:type="dcterms:W3CDTF">2026-09-22T20:35:43.2575954Z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