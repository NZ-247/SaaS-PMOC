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pen Ques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'Open Questions'!$A$4:$I$25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4" customWidth="1" style="7" min="1" max="1"/>
    <col width="32" customWidth="1" style="7" min="2" max="2"/>
    <col width="44" customWidth="1" style="7" min="3" max="3"/>
    <col width="44" customWidth="1" style="7" min="4" max="4"/>
    <col width="44" customWidth="1" style="7" min="5" max="5"/>
    <col width="44" customWidth="1" style="7" min="6" max="7"/>
    <col width="22" customWidth="1" style="8" min="7" max="7"/>
    <col width="44" customWidth="1" style="7" min="8" max="8"/>
    <col width="44" customWidth="1" style="7" min="9" max="9"/>
  </cols>
  <sheetData>
    <row r="1" ht="17.35" customHeight="1" s="8">
      <c r="A1" s="17" t="inlineStr">
        <is>
          <t>XLS-003 — Open Questions Register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</row>
    <row r="2" ht="15" customHeight="1" s="8">
      <c r="A2" s="15" t="inlineStr">
        <is>
          <t>PMOC Software | Fase 1 | v0.2 — APPROVED | 22/09/2026 | Origem das alterações: Services.NET Phase 1 Audit — Approved; Services.NET segunda revisão formal da Fase 1 v0.2 | Status: APPROVED WITH OPEN ACTIONS — Fase 1 aprovada formalmente pela Services.NET em 22/09/2026; Fase 2 não iniciada | Questão sem resposta não pode ser substituída por suposição.</t>
        </is>
      </c>
      <c r="B2" s="16" t="inlineStr">
        <is>
          <t>Fase 2 — Discovery Preparation</t>
        </is>
      </c>
      <c r="C2" s="16" t="inlineStr">
        <is>
          <t>v0.3-DRAFT</t>
        </is>
      </c>
      <c r="D2" s="16" t="inlineStr">
        <is>
          <t>23/09/2026</t>
        </is>
      </c>
      <c r="E2" s="16" t="inlineStr">
        <is>
          <t>Origem das alterações: execução inicial da Fase 2 Discovery Preparation</t>
        </is>
      </c>
      <c r="F2" s="16" t="inlineStr">
        <is>
          <t>Status: DRAFT — não aprovado; nenhuma entrevista presumida ou executada</t>
        </is>
      </c>
      <c r="G2" s="16" t="n"/>
      <c r="H2" s="18" t="n"/>
      <c r="I2" s="18" t="n"/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</row>
    <row r="4" ht="30" customHeight="1" s="8">
      <c r="A4" s="19" t="inlineStr">
        <is>
          <t>ID</t>
        </is>
      </c>
      <c r="B4" s="19" t="inlineStr">
        <is>
          <t>Categoria</t>
        </is>
      </c>
      <c r="C4" s="19" t="inlineStr">
        <is>
          <t>Questão</t>
        </is>
      </c>
      <c r="D4" s="19" t="inlineStr">
        <is>
          <t>Autoridade responsável pela resposta</t>
        </is>
      </c>
      <c r="E4" s="19" t="inlineStr">
        <is>
          <t>Impacto se não respondida</t>
        </is>
      </c>
      <c r="F4" s="19" t="inlineStr">
        <is>
          <t>Prioridade</t>
        </is>
      </c>
      <c r="G4" s="19" t="inlineStr">
        <is>
          <t>Status</t>
        </is>
      </c>
      <c r="H4" s="19" t="inlineStr">
        <is>
          <t>Observação</t>
        </is>
      </c>
      <c r="I4" s="19" t="inlineStr">
        <is>
          <t>Alterada em</t>
        </is>
      </c>
    </row>
    <row r="5" ht="15" customHeight="1" s="8">
      <c r="A5" s="20" t="inlineStr">
        <is>
          <t>OQ-001</t>
        </is>
      </c>
      <c r="B5" s="20" t="inlineStr">
        <is>
          <t>Produto</t>
        </is>
      </c>
      <c r="C5" s="20" t="inlineStr">
        <is>
          <t>Qual será o nome comercial do produto e quando será decidido?</t>
        </is>
      </c>
      <c r="D5" s="20" t="inlineStr">
        <is>
          <t>Patrocinador (STK-001)</t>
        </is>
      </c>
      <c r="E5" s="20" t="inlineStr">
        <is>
          <t>Marketing, domínio, identidade visual</t>
        </is>
      </c>
      <c r="F5" s="20" t="inlineStr">
        <is>
          <t>Média</t>
        </is>
      </c>
      <c r="G5" s="20" t="inlineStr">
        <is>
          <t>Aberta</t>
        </is>
      </c>
      <c r="H5" s="20" t="inlineStr">
        <is>
          <t>Não será arbitrado pela engenharia</t>
        </is>
      </c>
      <c r="I5" s="20" t="inlineStr">
        <is>
          <t>v0.1</t>
        </is>
      </c>
    </row>
    <row r="6" ht="15" customHeight="1" s="8">
      <c r="A6" s="20" t="inlineStr">
        <is>
          <t>OQ-002</t>
        </is>
      </c>
      <c r="B6" s="20" t="inlineStr">
        <is>
          <t>Governança</t>
        </is>
      </c>
      <c r="C6" s="20" t="inlineStr">
        <is>
          <t>ENCERRADA — Patrocinador formal definido: Alan Maciel Lima, CEO e especialista da Services.NET.</t>
        </is>
      </c>
      <c r="D6" s="20" t="inlineStr">
        <is>
          <t>Services.NET</t>
        </is>
      </c>
      <c r="E6" s="20" t="inlineStr">
        <is>
          <t>Autoridade de aprovação executiva da Fase 1 atendida</t>
        </is>
      </c>
      <c r="F6" s="20" t="inlineStr">
        <is>
          <t>Alta</t>
        </is>
      </c>
      <c r="G6" s="20" t="inlineStr">
        <is>
          <t>Respondida/Encerrada</t>
        </is>
      </c>
      <c r="H6" s="20" t="inlineStr">
        <is>
          <t>Responsabilidades registradas: direção, gestão, planejamento, supervisão da execução e aprovação executiva do projeto.</t>
        </is>
      </c>
      <c r="I6" s="20" t="inlineStr">
        <is>
          <t>v0.2 — encerrada na formalização final da Fase 1</t>
        </is>
      </c>
    </row>
    <row r="7" ht="15" customHeight="1" s="8">
      <c r="A7" s="20" t="inlineStr">
        <is>
          <t>OQ-003</t>
        </is>
      </c>
      <c r="B7" s="20" t="inlineStr">
        <is>
          <t>Governança</t>
        </is>
      </c>
      <c r="C7" s="20" t="inlineStr">
        <is>
          <t>ENCERRADA — Product Owner institucional definido: Services.NET.</t>
        </is>
      </c>
      <c r="D7" s="20" t="inlineStr">
        <is>
          <t>Services.NET</t>
        </is>
      </c>
      <c r="E7" s="20" t="inlineStr">
        <is>
          <t>Priorização e aceite passam a ter autoridade institucional definida</t>
        </is>
      </c>
      <c r="F7" s="20" t="inlineStr">
        <is>
          <t>Alta</t>
        </is>
      </c>
      <c r="G7" s="20" t="inlineStr">
        <is>
          <t>Respondida/Encerrada</t>
        </is>
      </c>
      <c r="H7" s="20" t="inlineStr">
        <is>
          <t>Quando um campo exigir pessoa física: "Services.NET — autoridade institucional; representante operacional a ser designado conforme necessidade". A Clima Zero não é proprietária do produto nem autoridade exclusiva sobre roadmap.</t>
        </is>
      </c>
      <c r="I7" s="20" t="inlineStr">
        <is>
          <t>v0.2 — encerrada na formalização final da Fase 1</t>
        </is>
      </c>
    </row>
    <row r="8" ht="57.45" customHeight="1" s="8">
      <c r="A8" s="21" t="inlineStr">
        <is>
          <t>OQ-004</t>
        </is>
      </c>
      <c r="B8" s="21" t="inlineStr">
        <is>
          <t>Regulatória</t>
        </is>
      </c>
      <c r="C8" s="21" t="inlineStr">
        <is>
          <t>Qual é a extensão da aplicabilidade da ABNT NBR 17037 ao produto e a cada requisito dele derivado, considerando a revogação da RE 9/2003 pela RDC 886/2024 e a orientação oficial da ANVISA indicando a norma como referência? Quais parâmetros são exigíveis e a partir de qual edição?</t>
        </is>
      </c>
      <c r="D8" s="21" t="inlineStr">
        <is>
          <t>Jurídico (STK-007) + Resp. técnico (STK-012)</t>
        </is>
      </c>
      <c r="E8" s="21" t="inlineStr">
        <is>
          <t>Conteúdo de parâmetros, faixas e checklists</t>
        </is>
      </c>
      <c r="F8" s="21" t="inlineStr">
        <is>
          <t>Alta</t>
        </is>
      </c>
      <c r="G8" s="21" t="inlineStr">
        <is>
          <t>Aberta</t>
        </is>
      </c>
      <c r="H8" s="21" t="inlineStr">
        <is>
          <t>Reformulada na v0.2: deixou de perguntar 'qual referencial existe' e passou a perguntar 'qual a extensão da aplicabilidade'. Norma técnica não equivale a lei</t>
        </is>
      </c>
      <c r="I8" s="21" t="inlineStr">
        <is>
          <t>v0.2 — reformulada</t>
        </is>
      </c>
    </row>
    <row r="9" ht="15" customHeight="1" s="8">
      <c r="A9" s="20" t="inlineStr">
        <is>
          <t>OQ-005</t>
        </is>
      </c>
      <c r="B9" s="20" t="inlineStr">
        <is>
          <t>Produto</t>
        </is>
      </c>
      <c r="C9" s="20" t="inlineStr">
        <is>
          <t>Quais são as metas numéricas das métricas de sucesso?</t>
        </is>
      </c>
      <c r="D9" s="20" t="inlineStr">
        <is>
          <t>Product Owner (STK-002)</t>
        </is>
      </c>
      <c r="E9" s="20" t="inlineStr">
        <is>
          <t>Avaliação objetiva do MVP</t>
        </is>
      </c>
      <c r="F9" s="20" t="inlineStr">
        <is>
          <t>Média</t>
        </is>
      </c>
      <c r="G9" s="20" t="inlineStr">
        <is>
          <t>Aberta</t>
        </is>
      </c>
      <c r="H9" s="20" t="inlineStr">
        <is>
          <t>—</t>
        </is>
      </c>
      <c r="I9" s="20" t="inlineStr">
        <is>
          <t>v0.1</t>
        </is>
      </c>
    </row>
    <row r="10" ht="79.84999999999999" customHeight="1" s="8">
      <c r="A10" s="21" t="inlineStr">
        <is>
          <t>OQ-006</t>
        </is>
      </c>
      <c r="B10" s="21" t="inlineStr">
        <is>
          <t>Legal</t>
        </is>
      </c>
      <c r="C10" s="21" t="inlineStr">
        <is>
          <t>Qual nível de identificação, manifestação de vontade, autoria, integridade e não repúdio é necessário para cada ato ou documento produzido pela plataforma, considerando legislação, exigências contratuais, fiscalização e finalidade probatória? A análise poderá distinguir aceite/acknowledgement, assinatura eletrônica simples, avançada, qualificada, baseada em ICP-Brasil e provedor externo de assinatura.</t>
        </is>
      </c>
      <c r="D10" s="21" t="inlineStr">
        <is>
          <t>Jurídico (STK-007), consultado o DPO (STK-021)</t>
        </is>
      </c>
      <c r="E10" s="21" t="inlineStr">
        <is>
          <t>Valor probatório, arquitetura da OS, UX de campo e CAP-054</t>
        </is>
      </c>
      <c r="F10" s="21" t="inlineStr">
        <is>
          <t>Alta</t>
        </is>
      </c>
      <c r="G10" s="21" t="inlineStr">
        <is>
          <t>Aberta</t>
        </is>
      </c>
      <c r="H10" s="21" t="inlineStr">
        <is>
          <t>Reformulada na v0.2. Nenhuma solução tecnológica será escolhida nesta fase</t>
        </is>
      </c>
      <c r="I10" s="21" t="inlineStr">
        <is>
          <t>v0.2 — reformulada</t>
        </is>
      </c>
    </row>
    <row r="11" ht="15" customHeight="1" s="8">
      <c r="A11" s="20" t="inlineStr">
        <is>
          <t>OQ-007</t>
        </is>
      </c>
      <c r="B11" s="20" t="inlineStr">
        <is>
          <t>Planejamento</t>
        </is>
      </c>
      <c r="C11" s="20" t="inlineStr">
        <is>
          <t>Qual equipe, orçamento e prazo estão disponíveis?</t>
        </is>
      </c>
      <c r="D11" s="20" t="inlineStr">
        <is>
          <t>Patrocinador (STK-001)</t>
        </is>
      </c>
      <c r="E11" s="20" t="inlineStr">
        <is>
          <t>Roadmap com datas</t>
        </is>
      </c>
      <c r="F11" s="20" t="inlineStr">
        <is>
          <t>Alta</t>
        </is>
      </c>
      <c r="G11" s="20" t="inlineStr">
        <is>
          <t>Aberta</t>
        </is>
      </c>
      <c r="H11" s="20" t="inlineStr">
        <is>
          <t>Roadmap permanece sem datas até resposta</t>
        </is>
      </c>
      <c r="I11" s="20" t="inlineStr">
        <is>
          <t>v0.1</t>
        </is>
      </c>
    </row>
    <row r="12" ht="15" customHeight="1" s="8">
      <c r="A12" s="20" t="inlineStr">
        <is>
          <t>OQ-008</t>
        </is>
      </c>
      <c r="B12" s="20" t="inlineStr">
        <is>
          <t>UX</t>
        </is>
      </c>
      <c r="C12" s="20" t="inlineStr">
        <is>
          <t>Qual nível de conformidade de acessibilidade será exigido?</t>
        </is>
      </c>
      <c r="D12" s="20" t="inlineStr">
        <is>
          <t>Product Owner (STK-002)</t>
        </is>
      </c>
      <c r="E12" s="20" t="inlineStr">
        <is>
          <t>Requisitos de interface</t>
        </is>
      </c>
      <c r="F12" s="20" t="inlineStr">
        <is>
          <t>Média</t>
        </is>
      </c>
      <c r="G12" s="20" t="inlineStr">
        <is>
          <t>Aberta</t>
        </is>
      </c>
      <c r="H12" s="20" t="inlineStr">
        <is>
          <t>—</t>
        </is>
      </c>
      <c r="I12" s="20" t="inlineStr">
        <is>
          <t>v0.1</t>
        </is>
      </c>
    </row>
    <row r="13" ht="15" customHeight="1" s="8">
      <c r="A13" s="20" t="inlineStr">
        <is>
          <t>OQ-009</t>
        </is>
      </c>
      <c r="B13" s="20" t="inlineStr">
        <is>
          <t>UX</t>
        </is>
      </c>
      <c r="C13" s="20" t="inlineStr">
        <is>
          <t>As personas do DOC-005 correspondem aos papéis reais do piloto?</t>
        </is>
      </c>
      <c r="D13" s="20" t="inlineStr">
        <is>
          <t>Cliente-piloto (STK-010)</t>
        </is>
      </c>
      <c r="E13" s="20" t="inlineStr">
        <is>
          <t>Desenho de UX e permissões</t>
        </is>
      </c>
      <c r="F13" s="20" t="inlineStr">
        <is>
          <t>Alta</t>
        </is>
      </c>
      <c r="G13" s="20" t="inlineStr">
        <is>
          <t>Aberta</t>
        </is>
      </c>
      <c r="H13" s="20" t="inlineStr">
        <is>
          <t>Validar na Fase 2</t>
        </is>
      </c>
      <c r="I13" s="20" t="inlineStr">
        <is>
          <t>v0.1</t>
        </is>
      </c>
    </row>
    <row r="14" ht="15" customHeight="1" s="8">
      <c r="A14" s="20" t="inlineStr">
        <is>
          <t>OQ-010</t>
        </is>
      </c>
      <c r="B14" s="20" t="inlineStr">
        <is>
          <t>Produto</t>
        </is>
      </c>
      <c r="C14" s="20" t="inlineStr">
        <is>
          <t>ENCERRADA quanto à existência e identidade do tenant-piloto: Clima Zero Climatização.</t>
        </is>
      </c>
      <c r="D14" s="20" t="inlineStr">
        <is>
          <t>Services.NET</t>
        </is>
      </c>
      <c r="E14" s="20" t="inlineStr">
        <is>
          <t>Fonte primária do levantamento identificada</t>
        </is>
      </c>
      <c r="F14" s="20" t="inlineStr">
        <is>
          <t>Alta</t>
        </is>
      </c>
      <c r="G14" s="20" t="inlineStr">
        <is>
          <t>Respondida/Encerrada</t>
        </is>
      </c>
      <c r="H14" s="20" t="inlineStr">
        <is>
          <t>Clima Zero Climatização é empresa parceira que apresentou à Services.NET a necessidade da plataforma. Será fonte primária de processos, validação de necessidades operacionais, documentos/formulários atuais, regras de campo, testes e validação do MVP quando acordado. Interlocutores, disponibilidade e agenda seguem em OQ-022.</t>
        </is>
      </c>
      <c r="I14" s="20" t="inlineStr">
        <is>
          <t>v0.2 — encerrada na formalização final da Fase 1</t>
        </is>
      </c>
    </row>
    <row r="15" ht="15" customHeight="1" s="8">
      <c r="A15" s="20" t="inlineStr">
        <is>
          <t>OQ-011</t>
        </is>
      </c>
      <c r="B15" s="20" t="inlineStr">
        <is>
          <t>Operação</t>
        </is>
      </c>
      <c r="C15" s="20" t="inlineStr">
        <is>
          <t>Quem opera a plataforma e sob qual SLA?</t>
        </is>
      </c>
      <c r="D15" s="20" t="inlineStr">
        <is>
          <t>Patrocinador (STK-001)</t>
        </is>
      </c>
      <c r="E15" s="20" t="inlineStr">
        <is>
          <t>NFRs de disponibilidade e suporte</t>
        </is>
      </c>
      <c r="F15" s="20" t="inlineStr">
        <is>
          <t>Alta</t>
        </is>
      </c>
      <c r="G15" s="20" t="inlineStr">
        <is>
          <t>Aberta</t>
        </is>
      </c>
      <c r="H15" s="20" t="inlineStr">
        <is>
          <t>Ligado a ASM-002</t>
        </is>
      </c>
      <c r="I15" s="20" t="inlineStr">
        <is>
          <t>v0.1</t>
        </is>
      </c>
    </row>
    <row r="16" ht="57.45" customHeight="1" s="8">
      <c r="A16" s="21" t="inlineStr">
        <is>
          <t>OQ-012</t>
        </is>
      </c>
      <c r="B16" s="21" t="inlineStr">
        <is>
          <t>Regulatória</t>
        </is>
      </c>
      <c r="C16" s="21" t="inlineStr">
        <is>
          <t>Confirmar formalmente eventual alteração, revogação, consolidação ou extensão atual da Portaria GM/MS nº 3.523/1998 para fins da matriz regulatória oficial do produto. O Art. 6º e sua redação sobre o limite acima de 5 TR (15.000 kcal/h = 60.000 BTU/h) e responsável técnico já estão identificados em fonte oficial.</t>
        </is>
      </c>
      <c r="D16" s="21" t="inlineStr">
        <is>
          <t>Jurídico (STK-007)</t>
        </is>
      </c>
      <c r="E16" s="21" t="inlineStr">
        <is>
          <t>Segurança jurídica sobre vigência/consolidação; não bloqueia mais a identificação do fundamento da Regra B</t>
        </is>
      </c>
      <c r="F16" s="21" t="inlineStr">
        <is>
          <t>Alta</t>
        </is>
      </c>
      <c r="G16" s="21" t="inlineStr">
        <is>
          <t>Aberta</t>
        </is>
      </c>
      <c r="H16" s="21" t="inlineStr">
        <is>
          <t>Reformulada por Codex: Art. 6º e alínea a registrados; permanece somente confirmação jurídica formal de eventual alteração/revogação/consolidação/extensão</t>
        </is>
      </c>
      <c r="I16" s="21" t="inlineStr">
        <is>
          <t>v0.2 — reformulada por Codex</t>
        </is>
      </c>
    </row>
    <row r="17" ht="23.85" customHeight="1" s="8">
      <c r="A17" s="20" t="inlineStr">
        <is>
          <t>OQ-013</t>
        </is>
      </c>
      <c r="B17" s="20" t="inlineStr">
        <is>
          <t>Regulatória</t>
        </is>
      </c>
      <c r="C17" s="20" t="inlineStr">
        <is>
          <t>Quais exigências estaduais e municipais aplicáveis ao piloto existem além da esfera federal?</t>
        </is>
      </c>
      <c r="D17" s="20" t="inlineStr">
        <is>
          <t>Jurídico (STK-007)</t>
        </is>
      </c>
      <c r="E17" s="20" t="inlineStr">
        <is>
          <t>Requisitos adicionais no modelo de conformidade</t>
        </is>
      </c>
      <c r="F17" s="20" t="inlineStr">
        <is>
          <t>Média</t>
        </is>
      </c>
      <c r="G17" s="20" t="inlineStr">
        <is>
          <t>Aberta</t>
        </is>
      </c>
      <c r="H17" s="20" t="inlineStr">
        <is>
          <t>—</t>
        </is>
      </c>
      <c r="I17" s="20" t="inlineStr">
        <is>
          <t>v0.1</t>
        </is>
      </c>
    </row>
    <row r="18" ht="15" customHeight="1" s="8">
      <c r="A18" s="20" t="inlineStr">
        <is>
          <t>OQ-014</t>
        </is>
      </c>
      <c r="B18" s="20" t="inlineStr">
        <is>
          <t>Negócio</t>
        </is>
      </c>
      <c r="C18" s="20" t="inlineStr">
        <is>
          <t>O escopo contratual (CAP-013, CAP-014) deve ser modelado no MVP?</t>
        </is>
      </c>
      <c r="D18" s="20" t="inlineStr">
        <is>
          <t>Product Owner (STK-002)</t>
        </is>
      </c>
      <c r="E18" s="20" t="inlineStr">
        <is>
          <t>Modelo de domínio e planejamento</t>
        </is>
      </c>
      <c r="F18" s="20" t="inlineStr">
        <is>
          <t>Média</t>
        </is>
      </c>
      <c r="G18" s="20" t="inlineStr">
        <is>
          <t>Aberta</t>
        </is>
      </c>
      <c r="H18" s="20" t="inlineStr">
        <is>
          <t>—</t>
        </is>
      </c>
      <c r="I18" s="20" t="inlineStr">
        <is>
          <t>v0.1</t>
        </is>
      </c>
    </row>
    <row r="19" ht="35.05" customHeight="1" s="8">
      <c r="A19" s="21" t="inlineStr">
        <is>
          <t>OQ-015</t>
        </is>
      </c>
      <c r="B19" s="21" t="inlineStr">
        <is>
          <t>Privacidade</t>
        </is>
      </c>
      <c r="C19" s="21" t="inlineStr">
        <is>
          <t>Quais bases legais da LGPD se aplicam a cada categoria de dado tratada, e quais prazos de retenção e direitos de titular decorrem delas?</t>
        </is>
      </c>
      <c r="D19" s="21" t="inlineStr">
        <is>
          <t>DPO (STK-021)</t>
        </is>
      </c>
      <c r="E19" s="21" t="inlineStr">
        <is>
          <t>Inventário de dados e matriz de retenção</t>
        </is>
      </c>
      <c r="F19" s="21" t="inlineStr">
        <is>
          <t>Alta</t>
        </is>
      </c>
      <c r="G19" s="21" t="inlineStr">
        <is>
          <t>Aberta</t>
        </is>
      </c>
      <c r="H19" s="21" t="inlineStr">
        <is>
          <t>Responsável alterado na v0.2 de Jurídico/DPO para DPO. Não será concluído pela engenharia</t>
        </is>
      </c>
      <c r="I19" s="21" t="inlineStr">
        <is>
          <t>v0.2 — responsável corrigido</t>
        </is>
      </c>
    </row>
    <row r="20" ht="15" customHeight="1" s="8">
      <c r="A20" s="20" t="inlineStr">
        <is>
          <t>OQ-016</t>
        </is>
      </c>
      <c r="B20" s="20" t="inlineStr">
        <is>
          <t>Técnica</t>
        </is>
      </c>
      <c r="C20" s="20" t="inlineStr">
        <is>
          <t>Qual provedor de nuvem, storage e identidade será adotado?</t>
        </is>
      </c>
      <c r="D20" s="20" t="inlineStr">
        <is>
          <t>Architect (STK-003)</t>
        </is>
      </c>
      <c r="E20" s="20" t="inlineStr">
        <is>
          <t>ADRs de infraestrutura</t>
        </is>
      </c>
      <c r="F20" s="20" t="inlineStr">
        <is>
          <t>Média</t>
        </is>
      </c>
      <c r="G20" s="20" t="inlineStr">
        <is>
          <t>Aberta</t>
        </is>
      </c>
      <c r="H20" s="20" t="inlineStr">
        <is>
          <t>Fase 9</t>
        </is>
      </c>
      <c r="I20" s="20" t="inlineStr">
        <is>
          <t>v0.1</t>
        </is>
      </c>
    </row>
    <row r="21" ht="15" customHeight="1" s="8">
      <c r="A21" s="20" t="inlineStr">
        <is>
          <t>OQ-017</t>
        </is>
      </c>
      <c r="B21" s="20" t="inlineStr">
        <is>
          <t>Produto</t>
        </is>
      </c>
      <c r="C21" s="20" t="inlineStr">
        <is>
          <t>O cliente final terá acesso de consulta já no MVP?</t>
        </is>
      </c>
      <c r="D21" s="20" t="inlineStr">
        <is>
          <t>Product Owner (STK-002)</t>
        </is>
      </c>
      <c r="E21" s="20" t="inlineStr">
        <is>
          <t>Escopo e segurança</t>
        </is>
      </c>
      <c r="F21" s="20" t="inlineStr">
        <is>
          <t>Média</t>
        </is>
      </c>
      <c r="G21" s="20" t="inlineStr">
        <is>
          <t>Aberta</t>
        </is>
      </c>
      <c r="H21" s="20" t="inlineStr">
        <is>
          <t>Hoje classificado como Pós-MVP</t>
        </is>
      </c>
      <c r="I21" s="20" t="inlineStr">
        <is>
          <t>v0.1</t>
        </is>
      </c>
    </row>
    <row r="22" ht="23.85" customHeight="1" s="8">
      <c r="A22" s="20" t="inlineStr">
        <is>
          <t>OQ-018</t>
        </is>
      </c>
      <c r="B22" s="20" t="inlineStr">
        <is>
          <t>Técnica</t>
        </is>
      </c>
      <c r="C22" s="20" t="inlineStr">
        <is>
          <t>Qual granularidade mínima de ativo o piloto exige (equipamento ou componente)?</t>
        </is>
      </c>
      <c r="D22" s="20" t="inlineStr">
        <is>
          <t>Resp. técnico (STK-012)</t>
        </is>
      </c>
      <c r="E22" s="20" t="inlineStr">
        <is>
          <t>Modelo de domínio e checklists</t>
        </is>
      </c>
      <c r="F22" s="20" t="inlineStr">
        <is>
          <t>Alta</t>
        </is>
      </c>
      <c r="G22" s="20" t="inlineStr">
        <is>
          <t>Aberta</t>
        </is>
      </c>
      <c r="H22" s="20" t="inlineStr">
        <is>
          <t>Ligado a ASM-010</t>
        </is>
      </c>
      <c r="I22" s="20" t="inlineStr">
        <is>
          <t>v0.1</t>
        </is>
      </c>
    </row>
    <row r="23" ht="46.25" customHeight="1" s="8">
      <c r="A23" s="21" t="inlineStr">
        <is>
          <t>OQ-019</t>
        </is>
      </c>
      <c r="B23" s="21" t="inlineStr">
        <is>
          <t>Regulatória</t>
        </is>
      </c>
      <c r="C23" s="21" t="inlineStr">
        <is>
          <t>ENCERRADA — referência oficial registrada: Guia nº 73/2024, versão 2, de 03/04/2025 — Guia de boas práticas em células e tecidos humanos para uso terapêutico; ANVISA; Biblioteca Digital da Anvisa, item 17752; publicação 2025; vigente a partir de 04/04/2025. O guia é instrumento regulatório não normativo, recomendatório e não vinculante.</t>
        </is>
      </c>
      <c r="D23" s="21" t="inlineStr">
        <is>
          <t>Respondida nesta revisão local Codex</t>
        </is>
      </c>
      <c r="E23" s="21" t="inlineStr">
        <is>
          <t>Rastreabilidade da fonte oficial atendida; OQ-004 permanece para extensão da aplicabilidade e parâmetros</t>
        </is>
      </c>
      <c r="F23" s="21" t="inlineStr">
        <is>
          <t>Alta</t>
        </is>
      </c>
      <c r="G23" s="21" t="inlineStr">
        <is>
          <t>Respondida/Encerrada</t>
        </is>
      </c>
      <c r="H23" s="21" t="inlineStr">
        <is>
          <t>Fonte primária confirmada: Biblioteca Digital da Anvisa item 17752 e AnvisaLegis Guia nº 73, de 03/04/2025, versão 2. Não converte a NBR 17037 em lei nem carrega parâmetros.</t>
        </is>
      </c>
      <c r="I23" s="21" t="inlineStr">
        <is>
          <t>v0.2 — encerrada por Codex</t>
        </is>
      </c>
    </row>
    <row r="24" ht="57.45" customHeight="1" s="8">
      <c r="A24" s="21" t="inlineStr">
        <is>
          <t>OQ-020</t>
        </is>
      </c>
      <c r="B24" s="21" t="inlineStr">
        <is>
          <t>Técnica</t>
        </is>
      </c>
      <c r="C24" s="21" t="inlineStr">
        <is>
          <t>Qual mecanismo preservará o estado de referência de um PMOC emitido (inventário aplicável, versão do plano, versões das regras, referências regulatórias, responsável técnico e timestamp), de modo que o documento histórico não mude de significado por alteração posterior de cadastro?</t>
        </is>
      </c>
      <c r="D24" s="21" t="inlineStr">
        <is>
          <t>Architect (STK-003)</t>
        </is>
      </c>
      <c r="E24" s="21" t="inlineStr">
        <is>
          <t>Modelo de domínio (Fase 3), modelo de dados (Fase 6), CAP-037 e AC-MVP-02</t>
        </is>
      </c>
      <c r="F24" s="21" t="inlineStr">
        <is>
          <t>Alta</t>
        </is>
      </c>
      <c r="G24" s="21" t="inlineStr">
        <is>
          <t>Aberta</t>
        </is>
      </c>
      <c r="H24" s="21" t="inlineStr">
        <is>
          <t>NOVA na v0.2. Registrada como princípio PP-13; entidades e persistência NÃO serão definidas na Fase 1</t>
        </is>
      </c>
      <c r="I24" s="21" t="inlineStr">
        <is>
          <t>v0.2 — nova</t>
        </is>
      </c>
    </row>
    <row r="25" ht="57.45" customHeight="1" s="8">
      <c r="A25" s="21" t="inlineStr">
        <is>
          <t>OQ-021</t>
        </is>
      </c>
      <c r="B25" s="21" t="inlineStr">
        <is>
          <t>Regulatória</t>
        </is>
      </c>
      <c r="C25" s="21" t="inlineStr">
        <is>
          <t>Quais normas estaduais, municipais, regulamentações setoriais específicas, exigências contratuais ou situações de uso restrito podem acrescentar critérios à Regra A (aplicabilidade do PMOC) ou à Regra B (responsável técnico), além do contexto federal já documentado?</t>
        </is>
      </c>
      <c r="D25" s="21" t="inlineStr">
        <is>
          <t>Jurídico (STK-007) + Resp. técnico (STK-012)</t>
        </is>
      </c>
      <c r="E25" s="21" t="inlineStr">
        <is>
          <t>Modelagem de ApplicabilityRule (CAP-035) para cenários locais, setoriais ou contratuais do cliente-piloto</t>
        </is>
      </c>
      <c r="F25" s="21" t="inlineStr">
        <is>
          <t>Alta</t>
        </is>
      </c>
      <c r="G25" s="21" t="inlineStr">
        <is>
          <t>Aberta</t>
        </is>
      </c>
      <c r="H25" s="21" t="inlineStr">
        <is>
          <t>Reformulada por Codex: no contexto federal documentado, o limite de 5 TR / 60.000 BTU/h fundamenta a Regra B no Art. 6º da Portaria GM/MS nº 3.523/1998 e não é tratado como limiar geral da existência de PMOC na Regra A</t>
        </is>
      </c>
      <c r="I25" s="21" t="inlineStr">
        <is>
          <t>v0.2 — reformulada por Codex</t>
        </is>
      </c>
    </row>
    <row r="26" ht="57.45" customHeight="1" s="8">
      <c r="A26" s="21" t="inlineStr">
        <is>
          <t>OQ-022</t>
        </is>
      </c>
      <c r="B26" s="21" t="inlineStr">
        <is>
          <t>Operação</t>
        </is>
      </c>
      <c r="C26" s="21" t="inlineStr">
        <is>
          <t>Quais interlocutores específicos da Clima Zero Climatização, disponibilidade para levantamento, compromisso de operar/validar o MVP e agenda da Fase 2 serão formalizados?</t>
        </is>
      </c>
      <c r="D26" s="21" t="inlineStr">
        <is>
          <t>Product Owner institucional (STK-002) + Clima Zero Climatização (STK-010)</t>
        </is>
      </c>
      <c r="E26" s="21" t="inlineStr">
        <is>
          <t>Sem interlocutores e agenda, a Fase 2 não possui base operacional governada, embora a identidade do tenant-piloto esteja encerrada em OQ-010</t>
        </is>
      </c>
      <c r="F26" s="21" t="inlineStr">
        <is>
          <t>Alta</t>
        </is>
      </c>
      <c r="G26" s="21" t="inlineStr">
        <is>
          <t>Aberta</t>
        </is>
      </c>
      <c r="H26" s="21" t="inlineStr">
        <is>
          <t>Criada para separar pendências operacionais da identidade/existência do tenant-piloto; não reabre OQ-010.</t>
        </is>
      </c>
      <c r="I26" s="21" t="inlineStr">
        <is>
          <t>v0.2 — criada na formalização final da Fase 1</t>
        </is>
      </c>
    </row>
    <row r="27">
      <c r="A27" s="21" t="inlineStr">
        <is>
          <t>OQ-023</t>
        </is>
      </c>
      <c r="B27" s="21" t="inlineStr">
        <is>
          <t>Regulatória</t>
        </is>
      </c>
      <c r="C27" s="21" t="inlineStr">
        <is>
          <t>Quais estados, municípios, tipos de clientes e ambientes do piloto devem delimitar a pesquisa regulatória local/setorial da Fase 2?</t>
        </is>
      </c>
      <c r="D27" s="21" t="inlineStr">
        <is>
          <t>Services.NET + Clima Zero + Jurídico (STK-007)</t>
        </is>
      </c>
      <c r="E27" s="21" t="inlineStr">
        <is>
          <t>Pesquisa regulatória pode ficar genérica ou incompleta</t>
        </is>
      </c>
      <c r="F27" s="21" t="inlineStr">
        <is>
          <t>Alta</t>
        </is>
      </c>
      <c r="G27" s="21" t="inlineStr">
        <is>
          <t>Aberta</t>
        </is>
      </c>
      <c r="H27" s="21" t="inlineStr">
        <is>
          <t>Criada na preparação da Fase 2 para limitar escopo regulatório local</t>
        </is>
      </c>
      <c r="I27" s="21" t="inlineStr">
        <is>
          <t>v0.3-DRAFT</t>
        </is>
      </c>
    </row>
    <row r="28">
      <c r="A28" s="21" t="inlineStr">
        <is>
          <t>OQ-024</t>
        </is>
      </c>
      <c r="B28" s="21" t="inlineStr">
        <is>
          <t>Governança</t>
        </is>
      </c>
      <c r="C28" s="21" t="inlineStr">
        <is>
          <t>Quais documentos reais a Clima Zero autoriza compartilhar, em qual formato, com quais restrições de confidencialidade e anonimização?</t>
        </is>
      </c>
      <c r="D28" s="21" t="inlineStr">
        <is>
          <t>Clima Zero + Services.NET + DPO (STK-021)</t>
        </is>
      </c>
      <c r="E28" s="21" t="inlineStr">
        <is>
          <t>Sem evidência documental, requisitos dependentes do tenant permanecem Draft</t>
        </is>
      </c>
      <c r="F28" s="21" t="inlineStr">
        <is>
          <t>Alta</t>
        </is>
      </c>
      <c r="G28" s="21" t="inlineStr">
        <is>
          <t>Aberta</t>
        </is>
      </c>
      <c r="H28" s="21" t="inlineStr">
        <is>
          <t>Relacionada a DEP-011</t>
        </is>
      </c>
      <c r="I28" s="21" t="inlineStr">
        <is>
          <t>v0.3-DRAFT</t>
        </is>
      </c>
    </row>
    <row r="29">
      <c r="A29" s="21" t="inlineStr">
        <is>
          <t>OQ-025</t>
        </is>
      </c>
      <c r="B29" s="21" t="inlineStr">
        <is>
          <t>Técnica</t>
        </is>
      </c>
      <c r="C29" s="21" t="inlineStr">
        <is>
          <t>Quem será o responsável técnico operacional designado para validar práticas, periodicidades, medições, instrumentos e critérios técnicos?</t>
        </is>
      </c>
      <c r="D29" s="21" t="inlineStr">
        <is>
          <t>Services.NET + Clima Zero</t>
        </is>
      </c>
      <c r="E29" s="21" t="inlineStr">
        <is>
          <t>Conteúdo técnico pode ser indevidamente inferido pela engenharia</t>
        </is>
      </c>
      <c r="F29" s="21" t="inlineStr">
        <is>
          <t>Alta</t>
        </is>
      </c>
      <c r="G29" s="21" t="inlineStr">
        <is>
          <t>Aberta</t>
        </is>
      </c>
      <c r="H29" s="21" t="inlineStr">
        <is>
          <t>Relacionada a DEP-002 e DEP-013</t>
        </is>
      </c>
      <c r="I29" s="21" t="inlineStr">
        <is>
          <t>v0.3-DRAFT</t>
        </is>
      </c>
    </row>
    <row r="30">
      <c r="A30" s="21" t="inlineStr">
        <is>
          <t>OQ-026</t>
        </is>
      </c>
      <c r="B30" s="21" t="inlineStr">
        <is>
          <t>Governança</t>
        </is>
      </c>
      <c r="C30" s="21" t="inlineStr">
        <is>
          <t>Quem serão as autoridades nominais de Jurídico/Regulatório e DPO para revisão da Fase 2?</t>
        </is>
      </c>
      <c r="D30" s="21" t="inlineStr">
        <is>
          <t>Services.NET</t>
        </is>
      </c>
      <c r="E30" s="21" t="inlineStr">
        <is>
          <t>Itens legais e LGPD permanecem sem autoridade de validação</t>
        </is>
      </c>
      <c r="F30" s="21" t="inlineStr">
        <is>
          <t>Alta</t>
        </is>
      </c>
      <c r="G30" s="21" t="inlineStr">
        <is>
          <t>Aberta</t>
        </is>
      </c>
      <c r="H30" s="21" t="inlineStr">
        <is>
          <t>Detalha GAP-005 e GAP-006 sem encerrá-los</t>
        </is>
      </c>
      <c r="I30" s="21" t="inlineStr">
        <is>
          <t>v0.3-DRAFT</t>
        </is>
      </c>
    </row>
    <row r="31">
      <c r="A31" s="21" t="inlineStr">
        <is>
          <t>OQ-027</t>
        </is>
      </c>
      <c r="B31" s="21" t="inlineStr">
        <is>
          <t>Produto</t>
        </is>
      </c>
      <c r="C31" s="21" t="inlineStr">
        <is>
          <t>Qual recorte de volumetria do piloto será usado como baseline inicial: número de clientes, unidades, ambientes, equipamentos, OS/mês, técnicos e relatórios?</t>
        </is>
      </c>
      <c r="D31" s="21" t="inlineStr">
        <is>
          <t>Clima Zero + Services.NET</t>
        </is>
      </c>
      <c r="E31" s="21" t="inlineStr">
        <is>
          <t>OQ-005 e metas de MVP permanecem sem base real</t>
        </is>
      </c>
      <c r="F31" s="21" t="inlineStr">
        <is>
          <t>Alta</t>
        </is>
      </c>
      <c r="G31" s="21" t="inlineStr">
        <is>
          <t>Aberta</t>
        </is>
      </c>
      <c r="H31" s="21" t="inlineStr">
        <is>
          <t>Coleta prevista em entrevistas de direção/gestão</t>
        </is>
      </c>
      <c r="I31" s="21" t="inlineStr">
        <is>
          <t>v0.3-DRAFT</t>
        </is>
      </c>
    </row>
    <row r="32">
      <c r="A32" s="21" t="inlineStr">
        <is>
          <t>OQ-028</t>
        </is>
      </c>
      <c r="B32" s="21" t="inlineStr">
        <is>
          <t>Compliance</t>
        </is>
      </c>
      <c r="C32" s="21" t="inlineStr">
        <is>
          <t>Quais exigências de fiscalização, auditoria, contrato ou cliente final já foram enfrentadas pela Clima Zero e quais evidências foram solicitadas?</t>
        </is>
      </c>
      <c r="D32" s="21" t="inlineStr">
        <is>
          <t>Clima Zero + Jurídico (STK-007) + Resp. técnico (STK-012)</t>
        </is>
      </c>
      <c r="E32" s="21" t="inlineStr">
        <is>
          <t>Requisitos probatórios e relatórios podem ficar incompletos</t>
        </is>
      </c>
      <c r="F32" s="21" t="inlineStr">
        <is>
          <t>Alta</t>
        </is>
      </c>
      <c r="G32" s="21" t="inlineStr">
        <is>
          <t>Aberta</t>
        </is>
      </c>
      <c r="H32" s="21" t="inlineStr">
        <is>
          <t>Coleta prevista em entrevistas e documentos</t>
        </is>
      </c>
      <c r="I32" s="21" t="inlineStr">
        <is>
          <t>v0.3-DRAFT</t>
        </is>
      </c>
    </row>
  </sheetData>
  <autoFilter ref="A4:I25"/>
  <dataValidations count="2">
    <dataValidation sqref="G5:G25" showDropDown="0" showInputMessage="0" showErrorMessage="0" allowBlank="1" type="list" errorStyle="stop" operator="between">
      <formula1>"Aberta,Em análise,Respondida,Descartada"</formula1>
      <formula2>0</formula2>
    </dataValidation>
    <dataValidation sqref="F5:F25" showDropDown="0" showInputMessage="0" showErrorMessage="0" allowBlank="1" type="list" errorStyle="stop" operator="between">
      <formula1>"Alta,Média,Baixa"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4" customWidth="1" style="7" min="1" max="1"/>
    <col width="44" customWidth="1" style="7" min="2" max="2"/>
    <col width="12" customWidth="1" style="8" min="3" max="3"/>
    <col width="12" customWidth="1" style="8" min="4" max="4"/>
    <col width="44" customWidth="1" style="8" min="5" max="5"/>
    <col width="44" customWidth="1" style="8" min="6" max="6"/>
  </cols>
  <sheetData>
    <row r="1" ht="17.35" customHeight="1" s="8">
      <c r="A1" s="17" t="inlineStr">
        <is>
          <t>XLS-003 — Resumo (v0.3-DRAFT)</t>
        </is>
      </c>
      <c r="B1" s="18" t="n"/>
      <c r="C1" s="18" t="n"/>
      <c r="D1" s="18" t="n"/>
      <c r="E1" s="18" t="n"/>
      <c r="F1" s="18" t="n"/>
    </row>
    <row r="2" ht="15" customHeight="1" s="8">
      <c r="A2" s="15" t="inlineStr">
        <is>
          <t>Contagens calculadas sobre as linhas de dados (a linha de cabeçalho está na linha 4 e é excluída).</t>
        </is>
      </c>
      <c r="B2" s="16" t="inlineStr">
        <is>
          <t>Fase 2 — Discovery Preparation</t>
        </is>
      </c>
      <c r="C2" s="16" t="inlineStr">
        <is>
          <t>v0.3-DRAFT</t>
        </is>
      </c>
      <c r="D2" s="16" t="inlineStr">
        <is>
          <t>23/09/2026</t>
        </is>
      </c>
      <c r="E2" s="16" t="inlineStr">
        <is>
          <t>Origem das alterações: execução inicial da Fase 2 Discovery Preparation</t>
        </is>
      </c>
      <c r="F2" s="16" t="inlineStr">
        <is>
          <t>Status: DRAFT — não aprovado; nenhuma entrevista presumida ou executada</t>
        </is>
      </c>
    </row>
    <row r="3">
      <c r="A3" s="18" t="n"/>
      <c r="B3" s="18" t="n"/>
      <c r="C3" s="18" t="n"/>
      <c r="D3" s="18" t="n"/>
      <c r="E3" s="18" t="n"/>
      <c r="F3" s="18" t="n"/>
    </row>
    <row r="4" ht="15" customHeight="1" s="8">
      <c r="A4" s="22" t="inlineStr">
        <is>
          <t>Questões registradas</t>
        </is>
      </c>
      <c r="B4" s="22">
        <f>COUNTA('Open Questions'!A5:A200)</f>
        <v/>
      </c>
      <c r="C4" s="18" t="n"/>
      <c r="D4" s="18" t="n"/>
      <c r="E4" s="18" t="n"/>
      <c r="F4" s="18" t="n"/>
    </row>
    <row r="5" ht="15" customHeight="1" s="8">
      <c r="A5" s="22" t="inlineStr">
        <is>
          <t>Abertas</t>
        </is>
      </c>
      <c r="B5" s="22">
        <f>COUNTIF('Open Questions'!G5:G200,"Aberta")</f>
        <v/>
      </c>
      <c r="C5" s="18" t="n"/>
      <c r="D5" s="18" t="n"/>
      <c r="E5" s="18" t="n"/>
      <c r="F5" s="18" t="n"/>
    </row>
    <row r="6" ht="15" customHeight="1" s="8">
      <c r="A6" s="22" t="inlineStr">
        <is>
          <t>Prioridade alta abertas</t>
        </is>
      </c>
      <c r="B6" s="22">
        <f>COUNTIFS('Open Questions'!F5:F200,"Alta",'Open Questions'!G5:G200,"Aberta")</f>
        <v/>
      </c>
      <c r="C6" s="18" t="n"/>
      <c r="D6" s="18" t="n"/>
      <c r="E6" s="18" t="n"/>
      <c r="F6" s="18" t="n"/>
    </row>
    <row r="7" ht="15" customHeight="1" s="8">
      <c r="A7" s="22" t="inlineStr">
        <is>
          <t>Encerradas/respondidas</t>
        </is>
      </c>
      <c r="B7" s="22">
        <f>COUNTIF('Open Questions'!G5:G200,"Respondida/Encerrada")</f>
        <v/>
      </c>
      <c r="C7" s="18" t="n"/>
      <c r="D7" s="18" t="n"/>
      <c r="E7" s="18" t="n"/>
      <c r="F7" s="18" t="n"/>
    </row>
    <row r="8" ht="15" customHeight="1" s="8">
      <c r="A8" s="22" t="inlineStr">
        <is>
          <t>Esperado — questões registradas</t>
        </is>
      </c>
      <c r="B8" s="22" t="n">
        <v>28</v>
      </c>
      <c r="C8" s="18" t="n"/>
      <c r="D8" s="18" t="n"/>
      <c r="E8" s="18" t="n"/>
      <c r="F8" s="18" t="n"/>
    </row>
    <row r="9" ht="15" customHeight="1" s="8">
      <c r="A9" s="22" t="inlineStr">
        <is>
          <t>Esperado — abertas na v0.3-DRAFT</t>
        </is>
      </c>
      <c r="B9" s="22" t="n">
        <v>24</v>
      </c>
      <c r="C9" s="18" t="n"/>
      <c r="D9" s="18" t="n"/>
      <c r="E9" s="18" t="n"/>
      <c r="F9" s="18" t="n"/>
    </row>
    <row r="10" ht="15" customHeight="1" s="8">
      <c r="A10" s="22" t="inlineStr">
        <is>
          <t>Novas na v0.3</t>
        </is>
      </c>
      <c r="B10" s="22" t="n">
        <v>6</v>
      </c>
      <c r="C10" s="18" t="n"/>
      <c r="D10" s="18" t="n"/>
      <c r="E10" s="18" t="n"/>
      <c r="F10" s="18" t="n"/>
    </row>
    <row r="11" ht="15" customHeight="1" s="8">
      <c r="A11" s="22" t="inlineStr">
        <is>
          <t>Reformuladas na v0.3</t>
        </is>
      </c>
      <c r="B11" s="22" t="n">
        <v>0</v>
      </c>
      <c r="C11" s="18" t="n"/>
      <c r="D11" s="18" t="n"/>
      <c r="E11" s="18" t="n"/>
      <c r="F11" s="18" t="n"/>
    </row>
    <row r="12">
      <c r="A12" s="18" t="inlineStr">
        <is>
          <t>Encerradas/respondidas após formalização final</t>
        </is>
      </c>
      <c r="B12" s="18" t="n">
        <v>4</v>
      </c>
      <c r="C12" s="18" t="n"/>
      <c r="D12" s="18" t="n"/>
      <c r="E12" s="18" t="n"/>
      <c r="F12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MACIEL LIMA DE JESUS, ALAN</dc:creator>
  <dc:language xmlns:dc="http://purl.org/dc/elements/1.1/">en-US</dc:language>
  <dcterms:created xmlns:dcterms="http://purl.org/dc/terms/" xmlns:xsi="http://www.w3.org/2001/XMLSchema-instance" xsi:type="dcterms:W3CDTF">2026-09-22T20:35:43Z</dcterms:created>
  <dcterms:modified xmlns:dcterms="http://purl.org/dc/terms/" xmlns:xsi="http://www.w3.org/2001/XMLSchema-instance" xsi:type="dcterms:W3CDTF">2026-09-23T00:58:03Z</dcterms:modified>
  <cp:lastModifiedBy>MACIEL LIMA DE JESUS, ALAN</cp:lastModifiedBy>
  <cp:revision>0</cp:revision>
</cp:coreProperties>
</file>