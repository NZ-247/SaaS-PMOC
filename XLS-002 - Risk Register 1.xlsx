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</sheets>
  <definedNames>
    <definedName function="false" hidden="true" localSheetId="0" name="_xlnm._FilterDatabase" vbProcedure="false">'Risk Register'!$A$4:$L$23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<sst xmlns="http://schemas.openxmlformats.org/spreadsheetml/2006/main" count="195" uniqueCount="131">
  <si>
    <t xml:space="preserve">XLS-002 — Risk Register</t>
  </si>
  <si>
    <t xml:space="preserve">PMOC Software | Fase 1 | v0.2 DRAFT | 22/09/2026 | Origem das alterações: Services.NET Phase 1 Audit — Approved | Status: aguardando segunda revisão formal da Services.NET | Score = Probabilidade x Impacto (escala 1 a 5).</t>
  </si>
  <si>
    <t xml:space="preserve">ID</t>
  </si>
  <si>
    <t xml:space="preserve">Categoria</t>
  </si>
  <si>
    <t xml:space="preserve">Descrição do risco</t>
  </si>
  <si>
    <t xml:space="preserve">Consequência</t>
  </si>
  <si>
    <t xml:space="preserve">Autoridade responsável</t>
  </si>
  <si>
    <t xml:space="preserve">Prob. (1-5)</t>
  </si>
  <si>
    <t xml:space="preserve">Impacto (1-5)</t>
  </si>
  <si>
    <t xml:space="preserve">Score</t>
  </si>
  <si>
    <t xml:space="preserve">Estratégia</t>
  </si>
  <si>
    <t xml:space="preserve">Resposta / Mitigação</t>
  </si>
  <si>
    <t xml:space="preserve">Status</t>
  </si>
  <si>
    <t xml:space="preserve">Alterado em</t>
  </si>
  <si>
    <t xml:space="preserve">RSK-001</t>
  </si>
  <si>
    <t xml:space="preserve">Regulatório</t>
  </si>
  <si>
    <t xml:space="preserve">Indefinição quanto à extensão da aplicabilidade da ABNT NBR 17037 como referência de qualidade do ar interior após a revogação da RE 9/2003 pela RDC 886/2024, e quanto a quais requisitos do produto dela derivam</t>
  </si>
  <si>
    <t xml:space="preserve">Parâmetros e checklists com lastro normativo incorreto; PMOC questionável</t>
  </si>
  <si>
    <t xml:space="preserve">Jurídico (STK-007)</t>
  </si>
  <si>
    <t xml:space="preserve">Mitigar</t>
  </si>
  <si>
    <t xml:space="preserve">Compliance as Data isola o impacto ao dado; conteúdo regulatório não carregado sem validação (OOS-015); parecer jurídico e técnico solicitados; aquisição legítima da norma (DEP-003)</t>
  </si>
  <si>
    <t xml:space="preserve">Aberto</t>
  </si>
  <si>
    <t xml:space="preserve">v0.2 — reformulado; score reduzido de 20 para 12 após incorporação da referência à NBR 17037</t>
  </si>
  <si>
    <t xml:space="preserve">RSK-002</t>
  </si>
  <si>
    <t xml:space="preserve">Segurança</t>
  </si>
  <si>
    <t xml:space="preserve">Vazamento de dados entre tenants por falha de escopo em consulta ou autorização</t>
  </si>
  <si>
    <t xml:space="preserve">Incidente grave, perda de confiança, exposição legal</t>
  </si>
  <si>
    <t xml:space="preserve">Architect (STK-003) / Segurança (STK-005)</t>
  </si>
  <si>
    <t xml:space="preserve">Escopo de tenant resolvido e autorizado no servidor; testes de autorização negativa; revisão obrigatória em code review; ADR-001 define o mecanismo de isolamento</t>
  </si>
  <si>
    <t xml:space="preserve">v0.2 — texto alinhado à regra semântica</t>
  </si>
  <si>
    <t xml:space="preserve">RSK-003</t>
  </si>
  <si>
    <t xml:space="preserve">Produto</t>
  </si>
  <si>
    <t xml:space="preserve">Escopo do MVP expandir além do ciclo mínimo (scope creep)</t>
  </si>
  <si>
    <t xml:space="preserve">Atraso, custo e perda de foco</t>
  </si>
  <si>
    <t xml:space="preserve">Product Owner (STK-002)</t>
  </si>
  <si>
    <t xml:space="preserve">Scope Boundary formal; gestão de mudança com avaliação de impacto</t>
  </si>
  <si>
    <t xml:space="preserve">v0.1</t>
  </si>
  <si>
    <t xml:space="preserve">RSK-004</t>
  </si>
  <si>
    <t xml:space="preserve">Ausência de cliente-piloto engajado leva a requisitos presumidos</t>
  </si>
  <si>
    <t xml:space="preserve">Produto desalinhado da operação real</t>
  </si>
  <si>
    <t xml:space="preserve">Confirmar piloto antes da Fase 2; registrar tudo não confirmado como hipótese</t>
  </si>
  <si>
    <t xml:space="preserve">RSK-005</t>
  </si>
  <si>
    <t xml:space="preserve">Governança</t>
  </si>
  <si>
    <t xml:space="preserve">Agentes de desenvolvimento alteram decisões estruturantes silenciosamente</t>
  </si>
  <si>
    <t xml:space="preserve">Erosão arquitetural e perda de rastreabilidade</t>
  </si>
  <si>
    <t xml:space="preserve">Architect (STK-003)</t>
  </si>
  <si>
    <t xml:space="preserve">AGENTS.md/CLAUDE.md com regras de ADR (Fase 10); revisão independente entre agentes</t>
  </si>
  <si>
    <t xml:space="preserve">RSK-006</t>
  </si>
  <si>
    <t xml:space="preserve">Técnico</t>
  </si>
  <si>
    <t xml:space="preserve">Modelo de multi-tenancy (ADR-001) definido tardiamente</t>
  </si>
  <si>
    <t xml:space="preserve">Retrabalho estrutural em dados e migrações</t>
  </si>
  <si>
    <t xml:space="preserve">ADR-001 priorizado; até lá vale apenas a regra semântica de pertencimento e autorização</t>
  </si>
  <si>
    <t xml:space="preserve">v0.2 — texto alinhado ao ADR-001</t>
  </si>
  <si>
    <t xml:space="preserve">RSK-007</t>
  </si>
  <si>
    <t xml:space="preserve">Estratégia de identificadores incompatível com operação offline futura</t>
  </si>
  <si>
    <t xml:space="preserve">Reconstrução de sincronização e de APIs</t>
  </si>
  <si>
    <t xml:space="preserve">ADR-002 antes da implementação</t>
  </si>
  <si>
    <t xml:space="preserve">RSK-008</t>
  </si>
  <si>
    <t xml:space="preserve">Operacional</t>
  </si>
  <si>
    <t xml:space="preserve">Qualidade do inventário inicial do piloto insuficiente</t>
  </si>
  <si>
    <t xml:space="preserve">Planos e cronogramas irreais</t>
  </si>
  <si>
    <t xml:space="preserve">Importação assistida, validações de cadastro e fase de carga</t>
  </si>
  <si>
    <t xml:space="preserve">RSK-009</t>
  </si>
  <si>
    <t xml:space="preserve">Evidências acessíveis por URL pública permanente</t>
  </si>
  <si>
    <t xml:space="preserve">Exposição de dados de clientes finais</t>
  </si>
  <si>
    <t xml:space="preserve">Evitar</t>
  </si>
  <si>
    <t xml:space="preserve">Acesso temporário e autorizado; nunca URL pública persistente</t>
  </si>
  <si>
    <t xml:space="preserve">RSK-010</t>
  </si>
  <si>
    <t xml:space="preserve">Privacidade</t>
  </si>
  <si>
    <t xml:space="preserve">Coleta de geolocalização ou de dados de manifestação de vontade sem base legal validada</t>
  </si>
  <si>
    <t xml:space="preserve">Não conformidade com a LGPD</t>
  </si>
  <si>
    <t xml:space="preserve">DPO (STK-021)</t>
  </si>
  <si>
    <t xml:space="preserve">Manter CAP-054 e CAP-058 como 'A validar'; não implementar sem parecer do DPO</t>
  </si>
  <si>
    <t xml:space="preserve">v0.2 — responsável alterado para DPO; texto ajustado</t>
  </si>
  <si>
    <t xml:space="preserve">RSK-011</t>
  </si>
  <si>
    <t xml:space="preserve">Legal</t>
  </si>
  <si>
    <t xml:space="preserve">Reprodução indevida de norma técnica protegida por direito autoral, em especial a ABNT NBR 17037</t>
  </si>
  <si>
    <t xml:space="preserve">Infração de direitos autorais</t>
  </si>
  <si>
    <t xml:space="preserve">Services.NET / Jurídico (STK-007)</t>
  </si>
  <si>
    <t xml:space="preserve">Referenciar, nunca reproduzir; aquisição legítima (DEP-003); revisão documental específica</t>
  </si>
  <si>
    <t xml:space="preserve">v0.2 — norma específica citada; relevância aumentada pela nova referência</t>
  </si>
  <si>
    <t xml:space="preserve">RSK-012</t>
  </si>
  <si>
    <t xml:space="preserve">Volume de evidências fotográficas cresce além do previsto</t>
  </si>
  <si>
    <t xml:space="preserve">Custo de armazenamento e degradação de desempenho</t>
  </si>
  <si>
    <t xml:space="preserve">Ops (STK-006)</t>
  </si>
  <si>
    <t xml:space="preserve">Política de retenção, compressão e storage adequado</t>
  </si>
  <si>
    <t xml:space="preserve">RSK-013</t>
  </si>
  <si>
    <t xml:space="preserve">Conectividade no campo inferior ao assumido</t>
  </si>
  <si>
    <t xml:space="preserve">Perda de registro na origem; adoção comprometida</t>
  </si>
  <si>
    <t xml:space="preserve">Medir na Fase 2; antecipar PWA se necessário</t>
  </si>
  <si>
    <t xml:space="preserve">RSK-014</t>
  </si>
  <si>
    <t xml:space="preserve">Cronograma</t>
  </si>
  <si>
    <t xml:space="preserve">Equipe, orçamento e prazo indefinidos</t>
  </si>
  <si>
    <t xml:space="preserve">Planejamento não executável</t>
  </si>
  <si>
    <t xml:space="preserve">Patrocinador (STK-001)</t>
  </si>
  <si>
    <t xml:space="preserve">Obter definição antes do fim da Fase 1</t>
  </si>
  <si>
    <t xml:space="preserve">RSK-015</t>
  </si>
  <si>
    <t xml:space="preserve">Expectativa do piloto divergente do escopo acordado</t>
  </si>
  <si>
    <t xml:space="preserve">Conflito e insatisfação no go-live</t>
  </si>
  <si>
    <t xml:space="preserve">Escopo formalizado e comunicado; critérios de aceite acordados</t>
  </si>
  <si>
    <t xml:space="preserve">RSK-016</t>
  </si>
  <si>
    <t xml:space="preserve">Requisitos regulatórios codificados na aplicação por conveniência</t>
  </si>
  <si>
    <t xml:space="preserve">Cada mudança normativa vira release</t>
  </si>
  <si>
    <t xml:space="preserve">Revisão de código específica; critérios AC-MVP-10 e AC-MVP-11</t>
  </si>
  <si>
    <t xml:space="preserve">v0.2 — AC-MVP-11 acrescentado</t>
  </si>
  <si>
    <t xml:space="preserve">RSK-017</t>
  </si>
  <si>
    <t xml:space="preserve">Backup existente porém restore nunca testado</t>
  </si>
  <si>
    <t xml:space="preserve">Perda de dados em incidente</t>
  </si>
  <si>
    <t xml:space="preserve">Exercício de restore obrigatório antes do go-live</t>
  </si>
  <si>
    <t xml:space="preserve">RSK-018</t>
  </si>
  <si>
    <t xml:space="preserve">Dependência</t>
  </si>
  <si>
    <t xml:space="preserve">Atraso em parecer jurídico, do DPO ou de responsável técnico</t>
  </si>
  <si>
    <t xml:space="preserve">Bloqueio de capacidades de conformidade e privacidade</t>
  </si>
  <si>
    <t xml:space="preserve">Isolar dependências; MVP limitado à capacidade estrutural, sem depender de decisão pendente</t>
  </si>
  <si>
    <t xml:space="preserve">v0.2 — DPO incluído</t>
  </si>
  <si>
    <t xml:space="preserve">RSK-019</t>
  </si>
  <si>
    <t xml:space="preserve">PMOC emitido perder fidelidade ao estado que o originou, por alteração posterior de cadastro de ativo, plano ou regra</t>
  </si>
  <si>
    <t xml:space="preserve">Documento histórico muda de significado; perda de valor probatório e de defensabilidade do responsável técnico</t>
  </si>
  <si>
    <t xml:space="preserve">Architect (STK-003) / Resp. técnico (STK-012)</t>
  </si>
  <si>
    <t xml:space="preserve">Princípio PP-13 registrado; mecanismo de preservação do estado de referência a definir nas Fases 3 e 6 (OQ-020); critério AC-MVP-02 atualizado</t>
  </si>
  <si>
    <t xml:space="preserve">v0.2 — NOVO</t>
  </si>
  <si>
    <t xml:space="preserve">XLS-002 — Resumo (v0.2)</t>
  </si>
  <si>
    <t xml:space="preserve">Contagens calculadas sobre as linhas de dados (a linha de cabeçalho está na linha 4 e é excluída).</t>
  </si>
  <si>
    <t xml:space="preserve">Riscos registrados</t>
  </si>
  <si>
    <t xml:space="preserve">Riscos abertos</t>
  </si>
  <si>
    <t xml:space="preserve">Score máximo</t>
  </si>
  <si>
    <t xml:space="preserve">Score médio</t>
  </si>
  <si>
    <t xml:space="preserve">Riscos com score &gt;= 15</t>
  </si>
  <si>
    <t xml:space="preserve">Esperado — riscos</t>
  </si>
  <si>
    <t xml:space="preserve">Riscos novos na v0.2</t>
  </si>
  <si>
    <t xml:space="preserve">Riscos alterados na v0.2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</si>
</sst>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7" min="6" style="0" width="8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48"/>
    <col collapsed="false" customWidth="true" hidden="false" outlineLevel="0" max="11" min="11" style="0" width="10"/>
    <col collapsed="false" customWidth="true" hidden="false" outlineLevel="0" max="12" min="12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6.2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n">
        <v>3</v>
      </c>
      <c r="G5" s="4" t="n">
        <v>4</v>
      </c>
      <c r="H5" s="5" t="n">
        <f aca="false">F5*G5</f>
        <v>12</v>
      </c>
      <c r="I5" s="4" t="s">
        <v>19</v>
      </c>
      <c r="J5" s="4" t="s">
        <v>20</v>
      </c>
      <c r="K5" s="4" t="s">
        <v>21</v>
      </c>
      <c r="L5" s="4" t="s">
        <v>22</v>
      </c>
    </row>
    <row r="6" customFormat="false" ht="35.0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n">
        <v>2</v>
      </c>
      <c r="G6" s="4" t="n">
        <v>5</v>
      </c>
      <c r="H6" s="5" t="n">
        <f aca="false">F6*G6</f>
        <v>10</v>
      </c>
      <c r="I6" s="4" t="s">
        <v>19</v>
      </c>
      <c r="J6" s="4" t="s">
        <v>28</v>
      </c>
      <c r="K6" s="4" t="s">
        <v>21</v>
      </c>
      <c r="L6" s="4" t="s">
        <v>29</v>
      </c>
    </row>
    <row r="7" customFormat="false" ht="23.85" hidden="false" customHeight="false" outlineLevel="0" collapsed="false">
      <c r="A7" s="6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 t="n">
        <v>4</v>
      </c>
      <c r="G7" s="6" t="n">
        <v>4</v>
      </c>
      <c r="H7" s="7" t="n">
        <f aca="false">F7*G7</f>
        <v>16</v>
      </c>
      <c r="I7" s="6" t="s">
        <v>19</v>
      </c>
      <c r="J7" s="6" t="s">
        <v>35</v>
      </c>
      <c r="K7" s="6" t="s">
        <v>21</v>
      </c>
      <c r="L7" s="6" t="s">
        <v>36</v>
      </c>
    </row>
    <row r="8" customFormat="false" ht="23.85" hidden="false" customHeight="false" outlineLevel="0" collapsed="false">
      <c r="A8" s="6" t="s">
        <v>37</v>
      </c>
      <c r="B8" s="6" t="s">
        <v>31</v>
      </c>
      <c r="C8" s="6" t="s">
        <v>38</v>
      </c>
      <c r="D8" s="6" t="s">
        <v>39</v>
      </c>
      <c r="E8" s="6" t="s">
        <v>34</v>
      </c>
      <c r="F8" s="6" t="n">
        <v>3</v>
      </c>
      <c r="G8" s="6" t="n">
        <v>5</v>
      </c>
      <c r="H8" s="7" t="n">
        <f aca="false">F8*G8</f>
        <v>15</v>
      </c>
      <c r="I8" s="6" t="s">
        <v>19</v>
      </c>
      <c r="J8" s="6" t="s">
        <v>40</v>
      </c>
      <c r="K8" s="6" t="s">
        <v>21</v>
      </c>
      <c r="L8" s="6" t="s">
        <v>36</v>
      </c>
    </row>
    <row r="9" customFormat="false" ht="23.85" hidden="false" customHeight="false" outlineLevel="0" collapsed="false">
      <c r="A9" s="6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6" t="n">
        <v>3</v>
      </c>
      <c r="G9" s="6" t="n">
        <v>4</v>
      </c>
      <c r="H9" s="7" t="n">
        <f aca="false">F9*G9</f>
        <v>12</v>
      </c>
      <c r="I9" s="6" t="s">
        <v>19</v>
      </c>
      <c r="J9" s="6" t="s">
        <v>46</v>
      </c>
      <c r="K9" s="6" t="s">
        <v>21</v>
      </c>
      <c r="L9" s="6" t="s">
        <v>36</v>
      </c>
    </row>
    <row r="10" customFormat="false" ht="23.8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45</v>
      </c>
      <c r="F10" s="4" t="n">
        <v>3</v>
      </c>
      <c r="G10" s="4" t="n">
        <v>5</v>
      </c>
      <c r="H10" s="5" t="n">
        <f aca="false">F10*G10</f>
        <v>15</v>
      </c>
      <c r="I10" s="4" t="s">
        <v>19</v>
      </c>
      <c r="J10" s="4" t="s">
        <v>51</v>
      </c>
      <c r="K10" s="4" t="s">
        <v>21</v>
      </c>
      <c r="L10" s="4" t="s">
        <v>52</v>
      </c>
    </row>
    <row r="11" customFormat="false" ht="23.85" hidden="false" customHeight="false" outlineLevel="0" collapsed="false">
      <c r="A11" s="6" t="s">
        <v>53</v>
      </c>
      <c r="B11" s="6" t="s">
        <v>48</v>
      </c>
      <c r="C11" s="6" t="s">
        <v>54</v>
      </c>
      <c r="D11" s="6" t="s">
        <v>55</v>
      </c>
      <c r="E11" s="6" t="s">
        <v>45</v>
      </c>
      <c r="F11" s="6" t="n">
        <v>2</v>
      </c>
      <c r="G11" s="6" t="n">
        <v>4</v>
      </c>
      <c r="H11" s="7" t="n">
        <f aca="false">F11*G11</f>
        <v>8</v>
      </c>
      <c r="I11" s="6" t="s">
        <v>19</v>
      </c>
      <c r="J11" s="6" t="s">
        <v>56</v>
      </c>
      <c r="K11" s="6" t="s">
        <v>21</v>
      </c>
      <c r="L11" s="6" t="s">
        <v>36</v>
      </c>
    </row>
    <row r="12" customFormat="false" ht="23.85" hidden="false" customHeight="false" outlineLevel="0" collapsed="false">
      <c r="A12" s="6" t="s">
        <v>57</v>
      </c>
      <c r="B12" s="6" t="s">
        <v>58</v>
      </c>
      <c r="C12" s="6" t="s">
        <v>59</v>
      </c>
      <c r="D12" s="6" t="s">
        <v>60</v>
      </c>
      <c r="E12" s="6" t="s">
        <v>34</v>
      </c>
      <c r="F12" s="6" t="n">
        <v>4</v>
      </c>
      <c r="G12" s="6" t="n">
        <v>3</v>
      </c>
      <c r="H12" s="7" t="n">
        <f aca="false">F12*G12</f>
        <v>12</v>
      </c>
      <c r="I12" s="6" t="s">
        <v>19</v>
      </c>
      <c r="J12" s="6" t="s">
        <v>61</v>
      </c>
      <c r="K12" s="6" t="s">
        <v>21</v>
      </c>
      <c r="L12" s="6" t="s">
        <v>36</v>
      </c>
    </row>
    <row r="13" customFormat="false" ht="23.85" hidden="false" customHeight="false" outlineLevel="0" collapsed="false">
      <c r="A13" s="6" t="s">
        <v>62</v>
      </c>
      <c r="B13" s="6" t="s">
        <v>24</v>
      </c>
      <c r="C13" s="6" t="s">
        <v>63</v>
      </c>
      <c r="D13" s="6" t="s">
        <v>64</v>
      </c>
      <c r="E13" s="6" t="s">
        <v>45</v>
      </c>
      <c r="F13" s="6" t="n">
        <v>2</v>
      </c>
      <c r="G13" s="6" t="n">
        <v>4</v>
      </c>
      <c r="H13" s="7" t="n">
        <f aca="false">F13*G13</f>
        <v>8</v>
      </c>
      <c r="I13" s="6" t="s">
        <v>65</v>
      </c>
      <c r="J13" s="6" t="s">
        <v>66</v>
      </c>
      <c r="K13" s="6" t="s">
        <v>21</v>
      </c>
      <c r="L13" s="6" t="s">
        <v>36</v>
      </c>
    </row>
    <row r="14" customFormat="false" ht="23.85" hidden="false" customHeight="false" outlineLevel="0" collapsed="false">
      <c r="A14" s="4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4" t="n">
        <v>3</v>
      </c>
      <c r="G14" s="4" t="n">
        <v>4</v>
      </c>
      <c r="H14" s="5" t="n">
        <f aca="false">F14*G14</f>
        <v>12</v>
      </c>
      <c r="I14" s="4" t="s">
        <v>65</v>
      </c>
      <c r="J14" s="4" t="s">
        <v>72</v>
      </c>
      <c r="K14" s="4" t="s">
        <v>21</v>
      </c>
      <c r="L14" s="4" t="s">
        <v>73</v>
      </c>
    </row>
    <row r="15" customFormat="false" ht="35.05" hidden="false" customHeight="false" outlineLevel="0" collapsed="false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n">
        <v>2</v>
      </c>
      <c r="G15" s="4" t="n">
        <v>4</v>
      </c>
      <c r="H15" s="5" t="n">
        <f aca="false">F15*G15</f>
        <v>8</v>
      </c>
      <c r="I15" s="4" t="s">
        <v>65</v>
      </c>
      <c r="J15" s="4" t="s">
        <v>79</v>
      </c>
      <c r="K15" s="4" t="s">
        <v>21</v>
      </c>
      <c r="L15" s="4" t="s">
        <v>80</v>
      </c>
    </row>
    <row r="16" customFormat="false" ht="23.85" hidden="false" customHeight="false" outlineLevel="0" collapsed="false">
      <c r="A16" s="6" t="s">
        <v>81</v>
      </c>
      <c r="B16" s="6" t="s">
        <v>48</v>
      </c>
      <c r="C16" s="6" t="s">
        <v>82</v>
      </c>
      <c r="D16" s="6" t="s">
        <v>83</v>
      </c>
      <c r="E16" s="6" t="s">
        <v>84</v>
      </c>
      <c r="F16" s="6" t="n">
        <v>3</v>
      </c>
      <c r="G16" s="6" t="n">
        <v>3</v>
      </c>
      <c r="H16" s="7" t="n">
        <f aca="false">F16*G16</f>
        <v>9</v>
      </c>
      <c r="I16" s="6" t="s">
        <v>19</v>
      </c>
      <c r="J16" s="6" t="s">
        <v>85</v>
      </c>
      <c r="K16" s="6" t="s">
        <v>21</v>
      </c>
      <c r="L16" s="6" t="s">
        <v>36</v>
      </c>
    </row>
    <row r="17" customFormat="false" ht="23.85" hidden="false" customHeight="false" outlineLevel="0" collapsed="false">
      <c r="A17" s="6" t="s">
        <v>86</v>
      </c>
      <c r="B17" s="6" t="s">
        <v>58</v>
      </c>
      <c r="C17" s="6" t="s">
        <v>87</v>
      </c>
      <c r="D17" s="6" t="s">
        <v>88</v>
      </c>
      <c r="E17" s="6" t="s">
        <v>34</v>
      </c>
      <c r="F17" s="6" t="n">
        <v>3</v>
      </c>
      <c r="G17" s="6" t="n">
        <v>4</v>
      </c>
      <c r="H17" s="7" t="n">
        <f aca="false">F17*G17</f>
        <v>12</v>
      </c>
      <c r="I17" s="6" t="s">
        <v>19</v>
      </c>
      <c r="J17" s="6" t="s">
        <v>89</v>
      </c>
      <c r="K17" s="6" t="s">
        <v>21</v>
      </c>
      <c r="L17" s="6" t="s">
        <v>36</v>
      </c>
    </row>
    <row r="18" customFormat="false" ht="15" hidden="false" customHeight="false" outlineLevel="0" collapsed="false">
      <c r="A18" s="6" t="s">
        <v>90</v>
      </c>
      <c r="B18" s="6" t="s">
        <v>91</v>
      </c>
      <c r="C18" s="6" t="s">
        <v>92</v>
      </c>
      <c r="D18" s="6" t="s">
        <v>93</v>
      </c>
      <c r="E18" s="6" t="s">
        <v>94</v>
      </c>
      <c r="F18" s="6" t="n">
        <v>4</v>
      </c>
      <c r="G18" s="6" t="n">
        <v>3</v>
      </c>
      <c r="H18" s="7" t="n">
        <f aca="false">F18*G18</f>
        <v>12</v>
      </c>
      <c r="I18" s="6" t="s">
        <v>19</v>
      </c>
      <c r="J18" s="6" t="s">
        <v>95</v>
      </c>
      <c r="K18" s="6" t="s">
        <v>21</v>
      </c>
      <c r="L18" s="6" t="s">
        <v>36</v>
      </c>
    </row>
    <row r="19" customFormat="false" ht="23.85" hidden="false" customHeight="false" outlineLevel="0" collapsed="false">
      <c r="A19" s="6" t="s">
        <v>96</v>
      </c>
      <c r="B19" s="6" t="s">
        <v>31</v>
      </c>
      <c r="C19" s="6" t="s">
        <v>97</v>
      </c>
      <c r="D19" s="6" t="s">
        <v>98</v>
      </c>
      <c r="E19" s="6" t="s">
        <v>34</v>
      </c>
      <c r="F19" s="6" t="n">
        <v>3</v>
      </c>
      <c r="G19" s="6" t="n">
        <v>3</v>
      </c>
      <c r="H19" s="7" t="n">
        <f aca="false">F19*G19</f>
        <v>9</v>
      </c>
      <c r="I19" s="6" t="s">
        <v>19</v>
      </c>
      <c r="J19" s="6" t="s">
        <v>99</v>
      </c>
      <c r="K19" s="6" t="s">
        <v>21</v>
      </c>
      <c r="L19" s="6" t="s">
        <v>36</v>
      </c>
    </row>
    <row r="20" customFormat="false" ht="23.85" hidden="false" customHeight="false" outlineLevel="0" collapsed="false">
      <c r="A20" s="4" t="s">
        <v>100</v>
      </c>
      <c r="B20" s="4" t="s">
        <v>48</v>
      </c>
      <c r="C20" s="4" t="s">
        <v>101</v>
      </c>
      <c r="D20" s="4" t="s">
        <v>102</v>
      </c>
      <c r="E20" s="4" t="s">
        <v>45</v>
      </c>
      <c r="F20" s="4" t="n">
        <v>3</v>
      </c>
      <c r="G20" s="4" t="n">
        <v>4</v>
      </c>
      <c r="H20" s="5" t="n">
        <f aca="false">F20*G20</f>
        <v>12</v>
      </c>
      <c r="I20" s="4" t="s">
        <v>65</v>
      </c>
      <c r="J20" s="4" t="s">
        <v>103</v>
      </c>
      <c r="K20" s="4" t="s">
        <v>21</v>
      </c>
      <c r="L20" s="4" t="s">
        <v>104</v>
      </c>
    </row>
    <row r="21" customFormat="false" ht="15" hidden="false" customHeight="false" outlineLevel="0" collapsed="false">
      <c r="A21" s="6" t="s">
        <v>105</v>
      </c>
      <c r="B21" s="6" t="s">
        <v>58</v>
      </c>
      <c r="C21" s="6" t="s">
        <v>106</v>
      </c>
      <c r="D21" s="6" t="s">
        <v>107</v>
      </c>
      <c r="E21" s="6" t="s">
        <v>84</v>
      </c>
      <c r="F21" s="6" t="n">
        <v>3</v>
      </c>
      <c r="G21" s="6" t="n">
        <v>5</v>
      </c>
      <c r="H21" s="7" t="n">
        <f aca="false">F21*G21</f>
        <v>15</v>
      </c>
      <c r="I21" s="6" t="s">
        <v>19</v>
      </c>
      <c r="J21" s="6" t="s">
        <v>108</v>
      </c>
      <c r="K21" s="6" t="s">
        <v>21</v>
      </c>
      <c r="L21" s="6" t="s">
        <v>36</v>
      </c>
    </row>
    <row r="22" customFormat="false" ht="23.85" hidden="false" customHeight="false" outlineLevel="0" collapsed="false">
      <c r="A22" s="4" t="s">
        <v>109</v>
      </c>
      <c r="B22" s="4" t="s">
        <v>110</v>
      </c>
      <c r="C22" s="4" t="s">
        <v>111</v>
      </c>
      <c r="D22" s="4" t="s">
        <v>112</v>
      </c>
      <c r="E22" s="4" t="s">
        <v>34</v>
      </c>
      <c r="F22" s="4" t="n">
        <v>3</v>
      </c>
      <c r="G22" s="4" t="n">
        <v>3</v>
      </c>
      <c r="H22" s="5" t="n">
        <f aca="false">F22*G22</f>
        <v>9</v>
      </c>
      <c r="I22" s="4" t="s">
        <v>19</v>
      </c>
      <c r="J22" s="4" t="s">
        <v>113</v>
      </c>
      <c r="K22" s="4" t="s">
        <v>21</v>
      </c>
      <c r="L22" s="4" t="s">
        <v>114</v>
      </c>
    </row>
    <row r="23" customFormat="false" ht="46.25" hidden="false" customHeight="false" outlineLevel="0" collapsed="false">
      <c r="A23" s="4" t="s">
        <v>115</v>
      </c>
      <c r="B23" s="4" t="s">
        <v>31</v>
      </c>
      <c r="C23" s="4" t="s">
        <v>116</v>
      </c>
      <c r="D23" s="4" t="s">
        <v>117</v>
      </c>
      <c r="E23" s="4" t="s">
        <v>118</v>
      </c>
      <c r="F23" s="4" t="n">
        <v>4</v>
      </c>
      <c r="G23" s="4" t="n">
        <v>4</v>
      </c>
      <c r="H23" s="5" t="n">
        <f aca="false">F23*G23</f>
        <v>16</v>
      </c>
      <c r="I23" s="4" t="s">
        <v>19</v>
      </c>
      <c r="J23" s="4" t="s">
        <v>119</v>
      </c>
      <c r="K23" s="4" t="s">
        <v>21</v>
      </c>
      <c r="L23" s="4" t="s">
        <v>120</v>
      </c>
    </row>
  </sheetData>
  <autoFilter ref="A4:L23"/>
  <dataValidations count="2">
    <dataValidation allowBlank="true" errorStyle="stop" operator="between" showDropDown="false" showErrorMessage="false" showInputMessage="false" sqref="K5:K23" type="list">
      <formula1>"Aberto,Em tratamento,Mitigado,Aceito,Encerrado"</formula1>
      <formula2>0</formula2>
    </dataValidation>
    <dataValidation allowBlank="true" errorStyle="stop" operator="between" showDropDown="false" showErrorMessage="false" showInputMessage="false" sqref="I5:I23" type="list">
      <formula1>"Evitar,Mitigar,Transferir,Aceitar"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8" t="s">
        <v>123</v>
      </c>
      <c r="B4" s="8" t="n">
        <f aca="false">COUNTA('Risk Register'!A5:A200)</f>
        <v>19</v>
      </c>
    </row>
    <row r="5" customFormat="false" ht="15" hidden="false" customHeight="false" outlineLevel="0" collapsed="false">
      <c r="A5" s="8" t="s">
        <v>124</v>
      </c>
      <c r="B5" s="8" t="n">
        <f aca="false">COUNTIF('Risk Register'!K5:K200,"Aberto")</f>
        <v>19</v>
      </c>
    </row>
    <row r="6" customFormat="false" ht="15" hidden="false" customHeight="false" outlineLevel="0" collapsed="false">
      <c r="A6" s="8" t="s">
        <v>125</v>
      </c>
      <c r="B6" s="8" t="n">
        <f aca="false">MAX('Risk Register'!H5:H23)</f>
        <v>16</v>
      </c>
    </row>
    <row r="7" customFormat="false" ht="15" hidden="false" customHeight="false" outlineLevel="0" collapsed="false">
      <c r="A7" s="8" t="s">
        <v>126</v>
      </c>
      <c r="B7" s="8" t="n">
        <f aca="false">ROUND(AVERAGE('Risk Register'!H5:H23),1)</f>
        <v>11.7</v>
      </c>
    </row>
    <row r="8" customFormat="false" ht="15" hidden="false" customHeight="false" outlineLevel="0" collapsed="false">
      <c r="A8" s="8" t="s">
        <v>127</v>
      </c>
      <c r="B8" s="8" t="n">
        <f aca="false">COUNTIF('Risk Register'!H5:H23,"&gt;=15")</f>
        <v>5</v>
      </c>
    </row>
    <row r="9" customFormat="false" ht="15" hidden="false" customHeight="false" outlineLevel="0" collapsed="false">
      <c r="A9" s="8"/>
      <c r="B9" s="8"/>
    </row>
    <row r="10" customFormat="false" ht="15" hidden="false" customHeight="false" outlineLevel="0" collapsed="false">
      <c r="A10" s="8" t="s">
        <v>128</v>
      </c>
      <c r="B10" s="8" t="n">
        <v>19</v>
      </c>
    </row>
    <row r="11" customFormat="false" ht="15" hidden="false" customHeight="false" outlineLevel="0" collapsed="false">
      <c r="A11" s="8" t="s">
        <v>129</v>
      </c>
      <c r="B11" s="8" t="n">
        <v>1</v>
      </c>
    </row>
    <row r="12" customFormat="false" ht="15" hidden="false" customHeight="false" outlineLevel="0" collapsed="false">
      <c r="A12" s="8" t="s">
        <v>130</v>
      </c>
      <c r="B12" s="8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2026-09-22T20:35:42.2540449Z</dcterms:created>
  <dc:creator>MACIEL LIMA DE JESUS, ALAN</dc:creator>
  <dc:description/>
  <dc:language>en-US</dc:language>
  <lastModifiedBy>MACIEL LIMA DE JESUS, ALAN</lastModifiedBy>
  <dcterms:modified xsi:type="dcterms:W3CDTF">2026-09-22T20:35:42.2540449Z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