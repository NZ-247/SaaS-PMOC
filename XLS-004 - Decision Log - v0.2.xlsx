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ision Log" sheetId="1" state="visible" r:id="rId1"/>
    <sheet xmlns:r="http://schemas.openxmlformats.org/officeDocument/2006/relationships" name="ADR Register" sheetId="2" state="visible" r:id="rId2"/>
    <sheet xmlns:r="http://schemas.openxmlformats.org/officeDocument/2006/relationships" name="Change Control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'Decision Log'!$A$4:$J$14</definedName>
    <definedName name="_xlnm._FilterDatabase" localSheetId="1" hidden="1">'ADR Register'!$A$4:$G$12</definedName>
    <definedName name="_xlnm._FilterDatabase" localSheetId="2" hidden="1">'Change Control'!$A$4:$F$19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12" customWidth="1" style="7" min="2" max="2"/>
    <col width="14" customWidth="1" style="7" min="3" max="3"/>
    <col width="54" customWidth="1" style="7" min="4" max="4"/>
    <col width="32" customWidth="1" style="7" min="5" max="5"/>
    <col width="30" customWidth="1" style="7" min="6" max="6"/>
    <col width="11" customWidth="1" style="7" min="7" max="7"/>
    <col width="20" customWidth="1" style="7" min="8" max="8"/>
    <col width="28" customWidth="1" style="7" min="9" max="9"/>
    <col width="24" customWidth="1" style="7" min="10" max="10"/>
  </cols>
  <sheetData>
    <row r="1" ht="17.35" customHeight="1" s="8">
      <c r="A1" s="9" t="inlineStr">
        <is>
          <t>XLS-004 — Decision Log</t>
        </is>
      </c>
    </row>
    <row r="2" ht="15" customHeight="1" s="8">
      <c r="A2" s="10" t="inlineStr">
        <is>
          <t>PMOC Software | Fase 1 | v0.2 — APPROVED | 22/09/2026 | Origem das alterações: Services.NET Phase 1 Audit — Approved; Services.NET segunda revisão formal da Fase 1 v0.2; Services.NET segunda revisão formal da Fase 1 v0.2 | Status: APPROVED WITH OPEN ACTIONS | DEC-001 a DEC-010 permanecem 'Proposta'; somente DEC-011 está 'Aprovada'.</t>
        </is>
      </c>
    </row>
    <row r="3"/>
    <row r="4" ht="30" customHeight="1" s="8">
      <c r="A4" s="11" t="inlineStr">
        <is>
          <t>ID</t>
        </is>
      </c>
      <c r="B4" s="11" t="inlineStr">
        <is>
          <t>Data</t>
        </is>
      </c>
      <c r="C4" s="11" t="inlineStr">
        <is>
          <t>Tipo</t>
        </is>
      </c>
      <c r="D4" s="11" t="inlineStr">
        <is>
          <t>Decisão</t>
        </is>
      </c>
      <c r="E4" s="11" t="inlineStr">
        <is>
          <t>Justificativa</t>
        </is>
      </c>
      <c r="F4" s="11" t="inlineStr">
        <is>
          <t>Alternativas consideradas</t>
        </is>
      </c>
      <c r="G4" s="11" t="inlineStr">
        <is>
          <t>Status</t>
        </is>
      </c>
      <c r="H4" s="11" t="inlineStr">
        <is>
          <t>Autoridade</t>
        </is>
      </c>
      <c r="I4" s="11" t="inlineStr">
        <is>
          <t>Impacto</t>
        </is>
      </c>
      <c r="J4" s="11" t="inlineStr">
        <is>
          <t>Referências</t>
        </is>
      </c>
    </row>
    <row r="5" ht="35.05" customHeight="1" s="8">
      <c r="A5" s="13" t="inlineStr">
        <is>
          <t>DEC-001</t>
        </is>
      </c>
      <c r="B5" s="13" t="inlineStr">
        <is>
          <t>22/09/2026</t>
        </is>
      </c>
      <c r="C5" s="13" t="inlineStr">
        <is>
          <t>Produto</t>
        </is>
      </c>
      <c r="D5" s="13" t="inlineStr">
        <is>
          <t>O produto é concebido como plataforma de gestão de manutenção, ativos, operações de campo e conformidade; PMOC é o primeiro domínio regulatório atendido</t>
        </is>
      </c>
      <c r="E5" s="13" t="inlineStr">
        <is>
          <t>Master Specification §5</t>
        </is>
      </c>
      <c r="F5" s="13" t="inlineStr">
        <is>
          <t>Tratar apenas PMOC como formulário</t>
        </is>
      </c>
      <c r="G5" s="13" t="inlineStr">
        <is>
          <t>Proposta</t>
        </is>
      </c>
      <c r="H5" s="13" t="inlineStr">
        <is>
          <t>Services.NET</t>
        </is>
      </c>
      <c r="I5" s="13" t="inlineStr">
        <is>
          <t>Define modelo de domínio e roadmap</t>
        </is>
      </c>
      <c r="J5" s="13" t="inlineStr">
        <is>
          <t>DOC-001, DOC-002</t>
        </is>
      </c>
    </row>
    <row r="6" ht="23.85" customHeight="1" s="8">
      <c r="A6" s="13" t="inlineStr">
        <is>
          <t>DEC-002</t>
        </is>
      </c>
      <c r="B6" s="13" t="inlineStr">
        <is>
          <t>22/09/2026</t>
        </is>
      </c>
      <c r="C6" s="13" t="inlineStr">
        <is>
          <t>Produto</t>
        </is>
      </c>
      <c r="D6" s="13" t="inlineStr">
        <is>
          <t>Não definir nome comercial nesta fase</t>
        </is>
      </c>
      <c r="E6" s="13" t="inlineStr">
        <is>
          <t>Decisão do patrocinador pendente</t>
        </is>
      </c>
      <c r="F6" s="13" t="inlineStr">
        <is>
          <t>Definir nome provisório</t>
        </is>
      </c>
      <c r="G6" s="13" t="inlineStr">
        <is>
          <t>Proposta</t>
        </is>
      </c>
      <c r="H6" s="13" t="inlineStr">
        <is>
          <t>Patrocinador (STK-001)</t>
        </is>
      </c>
      <c r="I6" s="13" t="inlineStr">
        <is>
          <t>Comunicação e identidade adiadas</t>
        </is>
      </c>
      <c r="J6" s="13" t="inlineStr">
        <is>
          <t>OQ-001</t>
        </is>
      </c>
    </row>
    <row r="7" ht="23.85" customHeight="1" s="8">
      <c r="A7" s="13" t="inlineStr">
        <is>
          <t>DEC-003</t>
        </is>
      </c>
      <c r="B7" s="13" t="inlineStr">
        <is>
          <t>22/09/2026</t>
        </is>
      </c>
      <c r="C7" s="13" t="inlineStr">
        <is>
          <t>Arquitetura</t>
        </is>
      </c>
      <c r="D7" s="13" t="inlineStr">
        <is>
          <t>Adotar Modular Monolith + API First como hipótese inicial, a confirmar por ADR</t>
        </is>
      </c>
      <c r="E7" s="13" t="inlineStr">
        <is>
          <t>Menor complexidade operacional inicial</t>
        </is>
      </c>
      <c r="F7" s="13" t="inlineStr">
        <is>
          <t>Microsserviços desde o início</t>
        </is>
      </c>
      <c r="G7" s="13" t="inlineStr">
        <is>
          <t>Proposta</t>
        </is>
      </c>
      <c r="H7" s="13" t="inlineStr">
        <is>
          <t>Architect (STK-003)</t>
        </is>
      </c>
      <c r="I7" s="13" t="inlineStr">
        <is>
          <t>Estrutura de módulos e contratos</t>
        </is>
      </c>
      <c r="J7" s="13" t="inlineStr">
        <is>
          <t>DOC-001 §26</t>
        </is>
      </c>
    </row>
    <row r="8" ht="35.05" customHeight="1" s="8">
      <c r="A8" s="13" t="inlineStr">
        <is>
          <t>DEC-004</t>
        </is>
      </c>
      <c r="B8" s="13" t="inlineStr">
        <is>
          <t>22/09/2026</t>
        </is>
      </c>
      <c r="C8" s="13" t="inlineStr">
        <is>
          <t>Arquitetura</t>
        </is>
      </c>
      <c r="D8" s="13" t="inlineStr">
        <is>
          <t>Multi-tenancy obrigatória desde a concepção, como regra semântica e de segurança; o modelo físico de isolamento é definido em ADR-001</t>
        </is>
      </c>
      <c r="E8" s="13" t="inlineStr">
        <is>
          <t>Requisito estruturante do produto</t>
        </is>
      </c>
      <c r="F8" s="13" t="inlineStr">
        <is>
          <t>Single-tenant no MVP; prescrever coluna TenantId na Fase 1</t>
        </is>
      </c>
      <c r="G8" s="13" t="inlineStr">
        <is>
          <t>Proposta</t>
        </is>
      </c>
      <c r="H8" s="13" t="inlineStr">
        <is>
          <t>Architect (STK-003)</t>
        </is>
      </c>
      <c r="I8" s="13" t="inlineStr">
        <is>
          <t>Modelo de dados e segurança</t>
        </is>
      </c>
      <c r="J8" s="13" t="inlineStr">
        <is>
          <t>ADR-001, DOC-001 §25</t>
        </is>
      </c>
    </row>
    <row r="9" ht="35.05" customHeight="1" s="8">
      <c r="A9" s="13" t="inlineStr">
        <is>
          <t>DEC-005</t>
        </is>
      </c>
      <c r="B9" s="13" t="inlineStr">
        <is>
          <t>22/09/2026</t>
        </is>
      </c>
      <c r="C9" s="13" t="inlineStr">
        <is>
          <t>Conformidade</t>
        </is>
      </c>
      <c r="D9" s="13" t="inlineStr">
        <is>
          <t>Adotar Compliance as Data: requisitos regulatórios, periodicidades e parâmetros como dado versionado, distinguindo capacidade estrutural de conteúdo regulatório</t>
        </is>
      </c>
      <c r="E9" s="13" t="inlineStr">
        <is>
          <t>Legislação é mutável e sua interpretação não cabe à engenharia</t>
        </is>
      </c>
      <c r="F9" s="13" t="inlineStr">
        <is>
          <t>Regras no código; carregar parâmetros sem validação</t>
        </is>
      </c>
      <c r="G9" s="13" t="inlineStr">
        <is>
          <t>Proposta</t>
        </is>
      </c>
      <c r="H9" s="13" t="inlineStr">
        <is>
          <t>Architect (STK-003)</t>
        </is>
      </c>
      <c r="I9" s="13" t="inlineStr">
        <is>
          <t>Modelo de domínio, banco e escopo do MVP</t>
        </is>
      </c>
      <c r="J9" s="13" t="inlineStr">
        <is>
          <t>DOC-002 PP-02, DOC-007 §3.1</t>
        </is>
      </c>
    </row>
    <row r="10" ht="23.85" customHeight="1" s="8">
      <c r="A10" s="13" t="inlineStr">
        <is>
          <t>DEC-006</t>
        </is>
      </c>
      <c r="B10" s="13" t="inlineStr">
        <is>
          <t>22/09/2026</t>
        </is>
      </c>
      <c r="C10" s="13" t="inlineStr">
        <is>
          <t>Escopo</t>
        </is>
      </c>
      <c r="D10" s="13" t="inlineStr">
        <is>
          <t>MVP é Web First; mobile e offline são Pós-MVP</t>
        </is>
      </c>
      <c r="E10" s="13" t="inlineStr">
        <is>
          <t>Cliente-piloto usará navegador</t>
        </is>
      </c>
      <c r="F10" s="13" t="inlineStr">
        <is>
          <t>Mobile no MVP</t>
        </is>
      </c>
      <c r="G10" s="13" t="inlineStr">
        <is>
          <t>Proposta</t>
        </is>
      </c>
      <c r="H10" s="13" t="inlineStr">
        <is>
          <t>Product Owner (STK-002)</t>
        </is>
      </c>
      <c r="I10" s="13" t="inlineStr">
        <is>
          <t>Escopo e cronograma</t>
        </is>
      </c>
      <c r="J10" s="13" t="inlineStr">
        <is>
          <t>DOC-007</t>
        </is>
      </c>
    </row>
    <row r="11" ht="23.85" customHeight="1" s="8">
      <c r="A11" s="13" t="inlineStr">
        <is>
          <t>DEC-007</t>
        </is>
      </c>
      <c r="B11" s="13" t="inlineStr">
        <is>
          <t>22/09/2026</t>
        </is>
      </c>
      <c r="C11" s="13" t="inlineStr">
        <is>
          <t>Segurança</t>
        </is>
      </c>
      <c r="D11" s="13" t="inlineStr">
        <is>
          <t>Auditoria de negócio é requisito da primeira versão, separada de log técnico</t>
        </is>
      </c>
      <c r="E11" s="13" t="inlineStr">
        <is>
          <t>Rastreabilidade e defensabilidade</t>
        </is>
      </c>
      <c r="F11" s="13" t="inlineStr">
        <is>
          <t>Auditoria em versão futura</t>
        </is>
      </c>
      <c r="G11" s="13" t="inlineStr">
        <is>
          <t>Proposta</t>
        </is>
      </c>
      <c r="H11" s="13" t="inlineStr">
        <is>
          <t>Architect (STK-003)</t>
        </is>
      </c>
      <c r="I11" s="13" t="inlineStr">
        <is>
          <t>Modelo de dados e aceite</t>
        </is>
      </c>
      <c r="J11" s="13" t="inlineStr">
        <is>
          <t>CAP-090, ADR-006</t>
        </is>
      </c>
    </row>
    <row r="12" ht="23.85" customHeight="1" s="8">
      <c r="A12" s="13" t="inlineStr">
        <is>
          <t>DEC-008</t>
        </is>
      </c>
      <c r="B12" s="13" t="inlineStr">
        <is>
          <t>22/09/2026</t>
        </is>
      </c>
      <c r="C12" s="13" t="inlineStr">
        <is>
          <t>Governança</t>
        </is>
      </c>
      <c r="D12" s="13" t="inlineStr">
        <is>
          <t>Roadmap por ondas de valor, sem datas, até definição de equipe, orçamento e prazo</t>
        </is>
      </c>
      <c r="E12" s="13" t="inlineStr">
        <is>
          <t>Informação indisponível</t>
        </is>
      </c>
      <c r="F12" s="13" t="inlineStr">
        <is>
          <t>Datas estimadas</t>
        </is>
      </c>
      <c r="G12" s="13" t="inlineStr">
        <is>
          <t>Proposta</t>
        </is>
      </c>
      <c r="H12" s="13" t="inlineStr">
        <is>
          <t>Patrocinador (STK-001)</t>
        </is>
      </c>
      <c r="I12" s="13" t="inlineStr">
        <is>
          <t>Planejamento</t>
        </is>
      </c>
      <c r="J12" s="13" t="inlineStr">
        <is>
          <t>DOC-008, OQ-007</t>
        </is>
      </c>
    </row>
    <row r="13" ht="35.05" customHeight="1" s="8">
      <c r="A13" s="13" t="inlineStr">
        <is>
          <t>DEC-009</t>
        </is>
      </c>
      <c r="B13" s="13" t="inlineStr">
        <is>
          <t>22/09/2026</t>
        </is>
      </c>
      <c r="C13" s="13" t="inlineStr">
        <is>
          <t>Legal</t>
        </is>
      </c>
      <c r="D13" s="13" t="inlineStr">
        <is>
          <t>Normas técnicas protegidas serão referenciadas, nunca reproduzidas; norma técnica não recebe status de lei por conveniência documental</t>
        </is>
      </c>
      <c r="E13" s="13" t="inlineStr">
        <is>
          <t>Direito autoral e precisão jurídica</t>
        </is>
      </c>
      <c r="F13" s="13" t="inlineStr">
        <is>
          <t>Reprodução interna; equiparar norma técnica a lei</t>
        </is>
      </c>
      <c r="G13" s="13" t="inlineStr">
        <is>
          <t>Proposta</t>
        </is>
      </c>
      <c r="H13" s="13" t="inlineStr">
        <is>
          <t>Services.NET / Jurídico (STK-007)</t>
        </is>
      </c>
      <c r="I13" s="13" t="inlineStr">
        <is>
          <t>Documentação e base de conformidade</t>
        </is>
      </c>
      <c r="J13" s="13" t="inlineStr">
        <is>
          <t>CON-004, DOC-001 §5.2</t>
        </is>
      </c>
    </row>
    <row r="14" ht="23.85" customHeight="1" s="8">
      <c r="A14" s="13" t="inlineStr">
        <is>
          <t>DEC-010</t>
        </is>
      </c>
      <c r="B14" s="13" t="inlineStr">
        <is>
          <t>22/09/2026</t>
        </is>
      </c>
      <c r="C14" s="13" t="inlineStr">
        <is>
          <t>Governança</t>
        </is>
      </c>
      <c r="D14" s="13" t="inlineStr">
        <is>
          <t>Nenhum código será iniciado antes da aprovação das fases documentais e dos ADRs estruturantes</t>
        </is>
      </c>
      <c r="E14" s="13" t="inlineStr">
        <is>
          <t>Master Specification §1 e §26</t>
        </is>
      </c>
      <c r="F14" s="13" t="inlineStr">
        <is>
          <t>Prototipar em paralelo</t>
        </is>
      </c>
      <c r="G14" s="13" t="inlineStr">
        <is>
          <t>Proposta</t>
        </is>
      </c>
      <c r="H14" s="13" t="inlineStr">
        <is>
          <t>Patrocinador (STK-001)</t>
        </is>
      </c>
      <c r="I14" s="13" t="inlineStr">
        <is>
          <t>Sequenciamento do projeto</t>
        </is>
      </c>
      <c r="J14" s="13" t="inlineStr">
        <is>
          <t>DOC-008 W0</t>
        </is>
      </c>
    </row>
    <row r="15">
      <c r="A15" s="13" t="inlineStr">
        <is>
          <t>DEC-011</t>
        </is>
      </c>
      <c r="B15" s="13" t="inlineStr">
        <is>
          <t>22/09/2026</t>
        </is>
      </c>
      <c r="C15" s="13" t="inlineStr">
        <is>
          <t>Governança documental</t>
        </is>
      </c>
      <c r="D15" s="13" t="inlineStr">
        <is>
          <t>Microsoft 365 será o ambiente de autoria, colaboração, apresentação, visualização executiva, Word, Excel, Power BI e interação com agentes integrados ao ambiente corporativo. Git será a baseline técnica autoritativa e versionada dos artefatos de engenharia formalmente publicados/aprovados. Em caso de divergência entre cópia M365 e baseline aprovada no Git, prevalece a baseline aprovada no Git.</t>
        </is>
      </c>
      <c r="E15" s="13" t="inlineStr">
        <is>
          <t>Decisão formal da Services.NET na segunda revisão da Fase 1 v0.2; evita fontes conflitantes e define precedência operacional entre M365 e Git.</t>
        </is>
      </c>
      <c r="F15" s="13" t="inlineStr">
        <is>
          <t>A. M365 autoritativo e Git espelho; B. Git autoritativo para artefatos de engenharia e M365 colaboração/apresentação; C. divisão explícita por tipo de artefato. A decisão aprovada combina M365 para autoria/colaboração/apresentação e Git como baseline técnica autoritativa.</t>
        </is>
      </c>
      <c r="G15" s="13" t="inlineStr">
        <is>
          <t>Aprovada</t>
        </is>
      </c>
      <c r="H15" s="13" t="inlineStr">
        <is>
          <t>Services.NET</t>
        </is>
      </c>
      <c r="I15" s="13" t="inlineStr">
        <is>
          <t>Regra operacional: M365 → autoria/alteração → revisão → publicação → Git; ou Git → alteração técnica → revisão/aprovação → baseline → sincronização da representação M365 quando aplicável.</t>
        </is>
      </c>
      <c r="J15" s="13" t="inlineStr">
        <is>
          <t>DOC-001 §30, CON-010, Overview_Project.md, PHASE-01-REVIEW, CHANGE-REPORT</t>
        </is>
      </c>
    </row>
  </sheetData>
  <autoFilter ref="A4:J14"/>
  <dataValidations count="1">
    <dataValidation sqref="G5:G14" showDropDown="0" showInputMessage="0" showErrorMessage="0" allowBlank="1" type="list" errorStyle="stop" operator="between">
      <formula1>"Proposta,Aprovada,Rejeitada,Substituída,Pendente"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48" customWidth="1" style="7" min="2" max="2"/>
    <col width="12" customWidth="1" style="7" min="3" max="3"/>
    <col width="14" customWidth="1" style="7" min="4" max="4"/>
    <col width="12" customWidth="1" style="7" min="5" max="5"/>
    <col width="50" customWidth="1" style="7" min="6" max="6"/>
    <col width="26" customWidth="1" style="7" min="7" max="7"/>
  </cols>
  <sheetData>
    <row r="1" ht="17.35" customHeight="1" s="8">
      <c r="A1" s="9" t="inlineStr">
        <is>
          <t>XLS-004 — ADR Register (índice)</t>
        </is>
      </c>
    </row>
    <row r="2" ht="15" customHeight="1" s="8">
      <c r="A2" s="10" t="inlineStr">
        <is>
          <t>Nenhum ADR foi decidido nesta fase. O conteúdo do ADR-008 NÃO é antecipado; apenas sua posição na sequência de dependências. | v0.2 — APPROVED</t>
        </is>
      </c>
    </row>
    <row r="3"/>
    <row r="4" ht="30" customHeight="1" s="8">
      <c r="A4" s="11" t="inlineStr">
        <is>
          <t>ADR</t>
        </is>
      </c>
      <c r="B4" s="11" t="inlineStr">
        <is>
          <t>Assunto</t>
        </is>
      </c>
      <c r="C4" s="11" t="inlineStr">
        <is>
          <t>Status</t>
        </is>
      </c>
      <c r="D4" s="11" t="inlineStr">
        <is>
          <t>Fase prevista</t>
        </is>
      </c>
      <c r="E4" s="11" t="inlineStr">
        <is>
          <t>Criticidade</t>
        </is>
      </c>
      <c r="F4" s="11" t="inlineStr">
        <is>
          <t>Pré-requisito de</t>
        </is>
      </c>
      <c r="G4" s="11" t="inlineStr">
        <is>
          <t>Referência</t>
        </is>
      </c>
    </row>
    <row r="5" ht="15" customHeight="1" s="8">
      <c r="A5" s="13" t="inlineStr">
        <is>
          <t>ADR-001</t>
        </is>
      </c>
      <c r="B5" s="13" t="inlineStr">
        <is>
          <t>Modelo de isolamento multi-tenant</t>
        </is>
      </c>
      <c r="C5" s="13" t="inlineStr">
        <is>
          <t>Proposto</t>
        </is>
      </c>
      <c r="D5" s="13" t="inlineStr">
        <is>
          <t>Fase 5</t>
        </is>
      </c>
      <c r="E5" s="13" t="inlineStr">
        <is>
          <t>Alta</t>
        </is>
      </c>
      <c r="F5" s="13" t="inlineStr">
        <is>
          <t>Todo o W1</t>
        </is>
      </c>
      <c r="G5" s="13" t="inlineStr">
        <is>
          <t>DEC-004, DOC-001 §25</t>
        </is>
      </c>
    </row>
    <row r="6" ht="23.85" customHeight="1" s="8">
      <c r="A6" s="13" t="inlineStr">
        <is>
          <t>ADR-002</t>
        </is>
      </c>
      <c r="B6" s="13" t="inlineStr">
        <is>
          <t>Estratégia de identificadores (avaliar UUIDv7 ou equivalente)</t>
        </is>
      </c>
      <c r="C6" s="13" t="inlineStr">
        <is>
          <t>Proposto</t>
        </is>
      </c>
      <c r="D6" s="13" t="inlineStr">
        <is>
          <t>Fase 5</t>
        </is>
      </c>
      <c r="E6" s="13" t="inlineStr">
        <is>
          <t>Alta</t>
        </is>
      </c>
      <c r="F6" s="13" t="inlineStr">
        <is>
          <t>W1 e W3 (offline)</t>
        </is>
      </c>
      <c r="G6" s="13" t="inlineStr">
        <is>
          <t>Master Spec §13</t>
        </is>
      </c>
    </row>
    <row r="7" ht="15" customHeight="1" s="8">
      <c r="A7" s="13" t="inlineStr">
        <is>
          <t>ADR-003</t>
        </is>
      </c>
      <c r="B7" s="13" t="inlineStr">
        <is>
          <t>Stack de back-end (ASP.NET Core x NestJS)</t>
        </is>
      </c>
      <c r="C7" s="13" t="inlineStr">
        <is>
          <t>Proposto</t>
        </is>
      </c>
      <c r="D7" s="13" t="inlineStr">
        <is>
          <t>Fase 5</t>
        </is>
      </c>
      <c r="E7" s="13" t="inlineStr">
        <is>
          <t>Alta</t>
        </is>
      </c>
      <c r="F7" s="13" t="inlineStr">
        <is>
          <t>W1</t>
        </is>
      </c>
      <c r="G7" s="13" t="inlineStr">
        <is>
          <t>Master Spec §11</t>
        </is>
      </c>
    </row>
    <row r="8" ht="15" customHeight="1" s="8">
      <c r="A8" s="13" t="inlineStr">
        <is>
          <t>ADR-004</t>
        </is>
      </c>
      <c r="B8" s="13" t="inlineStr">
        <is>
          <t>Stack de front-end (React/Next.js)</t>
        </is>
      </c>
      <c r="C8" s="13" t="inlineStr">
        <is>
          <t>Proposto</t>
        </is>
      </c>
      <c r="D8" s="13" t="inlineStr">
        <is>
          <t>Fase 5</t>
        </is>
      </c>
      <c r="E8" s="13" t="inlineStr">
        <is>
          <t>Média</t>
        </is>
      </c>
      <c r="F8" s="13" t="inlineStr">
        <is>
          <t>W1</t>
        </is>
      </c>
      <c r="G8" s="13" t="inlineStr">
        <is>
          <t>Master Spec §11</t>
        </is>
      </c>
    </row>
    <row r="9" ht="23.85" customHeight="1" s="8">
      <c r="A9" s="13" t="inlineStr">
        <is>
          <t>ADR-005</t>
        </is>
      </c>
      <c r="B9" s="13" t="inlineStr">
        <is>
          <t>Armazenamento de evidências e documentos (Object Storage)</t>
        </is>
      </c>
      <c r="C9" s="13" t="inlineStr">
        <is>
          <t>Proposto</t>
        </is>
      </c>
      <c r="D9" s="13" t="inlineStr">
        <is>
          <t>Fase 5/6</t>
        </is>
      </c>
      <c r="E9" s="13" t="inlineStr">
        <is>
          <t>Alta</t>
        </is>
      </c>
      <c r="F9" s="13" t="inlineStr">
        <is>
          <t>CAP-070 a CAP-073</t>
        </is>
      </c>
      <c r="G9" s="13" t="inlineStr">
        <is>
          <t>DOC-006 D8</t>
        </is>
      </c>
    </row>
    <row r="10" ht="15" customHeight="1" s="8">
      <c r="A10" s="13" t="inlineStr">
        <is>
          <t>ADR-006</t>
        </is>
      </c>
      <c r="B10" s="13" t="inlineStr">
        <is>
          <t>Modelo de auditoria de negócio</t>
        </is>
      </c>
      <c r="C10" s="13" t="inlineStr">
        <is>
          <t>Proposto</t>
        </is>
      </c>
      <c r="D10" s="13" t="inlineStr">
        <is>
          <t>Fase 6</t>
        </is>
      </c>
      <c r="E10" s="13" t="inlineStr">
        <is>
          <t>Alta</t>
        </is>
      </c>
      <c r="F10" s="13" t="inlineStr">
        <is>
          <t>CAP-090 a CAP-092</t>
        </is>
      </c>
      <c r="G10" s="13" t="inlineStr">
        <is>
          <t>DEC-007</t>
        </is>
      </c>
    </row>
    <row r="11" ht="15" customHeight="1" s="8">
      <c r="A11" s="13" t="inlineStr">
        <is>
          <t>ADR-007</t>
        </is>
      </c>
      <c r="B11" s="13" t="inlineStr">
        <is>
          <t>Estratégia de versionamento de API</t>
        </is>
      </c>
      <c r="C11" s="13" t="inlineStr">
        <is>
          <t>Proposto</t>
        </is>
      </c>
      <c r="D11" s="13" t="inlineStr">
        <is>
          <t>Fase 7</t>
        </is>
      </c>
      <c r="E11" s="13" t="inlineStr">
        <is>
          <t>Média</t>
        </is>
      </c>
      <c r="F11" s="13" t="inlineStr">
        <is>
          <t>CAP-100</t>
        </is>
      </c>
      <c r="G11" s="13" t="inlineStr">
        <is>
          <t>AC-MVP-08</t>
        </is>
      </c>
    </row>
    <row r="12" ht="35.05" customHeight="1" s="8">
      <c r="A12" s="14" t="inlineStr">
        <is>
          <t>ADR-008</t>
        </is>
      </c>
      <c r="B12" s="14" t="inlineStr">
        <is>
          <t>Modelo de dados de Compliance as Data</t>
        </is>
      </c>
      <c r="C12" s="14" t="inlineStr">
        <is>
          <t>Proposto</t>
        </is>
      </c>
      <c r="D12" s="14" t="inlineStr">
        <is>
          <t>Fase 6</t>
        </is>
      </c>
      <c r="E12" s="14" t="inlineStr">
        <is>
          <t>Alta</t>
        </is>
      </c>
      <c r="F12" s="14" t="inlineStr">
        <is>
          <t>CAP-030 a CAP-035, CAP-037, CAP-038 — decisão estrutural necessária ANTES da implementação dessas partes</t>
        </is>
      </c>
      <c r="G12" s="14" t="inlineStr">
        <is>
          <t>DEC-005, DOC-008 §5</t>
        </is>
      </c>
    </row>
  </sheetData>
  <autoFilter ref="A4:G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1" customWidth="1" style="7" min="1" max="1"/>
    <col width="12" customWidth="1" style="7" min="2" max="2"/>
    <col width="36" customWidth="1" style="7" min="3" max="3"/>
    <col width="54" customWidth="1" style="7" min="4" max="5"/>
    <col width="40" customWidth="1" style="7" min="6" max="6"/>
  </cols>
  <sheetData>
    <row r="1" ht="17.35" customHeight="1" s="8">
      <c r="A1" s="9" t="inlineStr">
        <is>
          <t>XLS-004 — Change Control (v0.1 → v0.2)</t>
        </is>
      </c>
    </row>
    <row r="2" ht="15" customHeight="1" s="8">
      <c r="A2" s="10" t="inlineStr">
        <is>
          <t>Registro de controle de mudança da revisão corretiva e formalização final. A aprovação da Fase 1 NÃO altera DEC-001 a DEC-010; DEC-011 está aprovada. | v0.2 — APPROVED | 22/09/2026</t>
        </is>
      </c>
    </row>
    <row r="3"/>
    <row r="4" ht="30" customHeight="1" s="8">
      <c r="A4" s="11" t="inlineStr">
        <is>
          <t>ID</t>
        </is>
      </c>
      <c r="B4" s="11" t="inlineStr">
        <is>
          <t>Data</t>
        </is>
      </c>
      <c r="C4" s="11" t="inlineStr">
        <is>
          <t>Origem</t>
        </is>
      </c>
      <c r="D4" s="11" t="inlineStr">
        <is>
          <t>Alteração</t>
        </is>
      </c>
      <c r="E4" s="11" t="inlineStr">
        <is>
          <t>Motivo / Onde foi aplicada</t>
        </is>
      </c>
      <c r="F4" s="11" t="inlineStr">
        <is>
          <t>Artefatos afetados</t>
        </is>
      </c>
    </row>
    <row r="5" ht="35.05" customHeight="1" s="8">
      <c r="A5" s="13" t="inlineStr">
        <is>
          <t>AUDIT-01</t>
        </is>
      </c>
      <c r="B5" s="13" t="inlineStr">
        <is>
          <t>22/09/2026</t>
        </is>
      </c>
      <c r="C5" s="13" t="inlineStr">
        <is>
          <t>Services.NET Phase 1 Audit — Approved</t>
        </is>
      </c>
      <c r="D5" s="13" t="inlineStr">
        <is>
          <t>Auditoria técnica independente da Fase 1 (v0.1) formalmente aceita pela Services.NET</t>
        </is>
      </c>
      <c r="E5" s="13" t="inlineStr">
        <is>
          <t>Aceitação da auditoria como processo; NÃO constitui aprovação individual das decisões DEC-001 a DEC-010, que permanecem 'Proposta'</t>
        </is>
      </c>
      <c r="F5" s="13" t="inlineStr">
        <is>
          <t>Todos os artefatos da Fase 1</t>
        </is>
      </c>
    </row>
    <row r="6" ht="23.85" customHeight="1" s="8">
      <c r="A6" s="13" t="inlineStr">
        <is>
          <t>CHG-01</t>
        </is>
      </c>
      <c r="B6" s="13" t="inlineStr">
        <is>
          <t>22/09/2026</t>
        </is>
      </c>
      <c r="C6" s="13" t="inlineStr">
        <is>
          <t>Services.NET Phase 1 Audit — Approved</t>
        </is>
      </c>
      <c r="D6" s="13" t="inlineStr">
        <is>
          <t>Incorporação da ABNT NBR 17037 à matriz regulatória preliminar, como norma técnica</t>
        </is>
      </c>
      <c r="E6" s="13" t="inlineStr">
        <is>
          <t>DOC-001 §5.1 e §5.2; OQ-004; OQ-019; RSK-001; RSK-011; PHASE-01-REVIEW INC-001</t>
        </is>
      </c>
      <c r="F6" s="13" t="inlineStr">
        <is>
          <t>DOC-001, XLS-002, XLS-003</t>
        </is>
      </c>
    </row>
    <row r="7" ht="23.85" customHeight="1" s="8">
      <c r="A7" s="13" t="inlineStr">
        <is>
          <t>CHG-02</t>
        </is>
      </c>
      <c r="B7" s="13" t="inlineStr">
        <is>
          <t>22/09/2026</t>
        </is>
      </c>
      <c r="C7" s="13" t="inlineStr">
        <is>
          <t>Services.NET Phase 1 Audit — Approved</t>
        </is>
      </c>
      <c r="D7" s="13" t="inlineStr">
        <is>
          <t>Distinção conceitual entre Regra A (aplicabilidade do PMOC) e Regra B (exigência de responsável técnico)</t>
        </is>
      </c>
      <c r="E7" s="13" t="inlineStr">
        <is>
          <t>DOC-001 §5.3; CAP-035; OQ-021; PHASE-01-REVIEW INC-003</t>
        </is>
      </c>
      <c r="F7" s="13" t="inlineStr">
        <is>
          <t>DOC-001, DOC-006, XLS-003</t>
        </is>
      </c>
    </row>
    <row r="8" ht="23.85" customHeight="1" s="8">
      <c r="A8" s="13" t="inlineStr">
        <is>
          <t>CHG-03</t>
        </is>
      </c>
      <c r="B8" s="13" t="inlineStr">
        <is>
          <t>22/09/2026</t>
        </is>
      </c>
      <c r="C8" s="13" t="inlineStr">
        <is>
          <t>Services.NET Phase 1 Audit — Approved</t>
        </is>
      </c>
      <c r="D8" s="13" t="inlineStr">
        <is>
          <t>Reformulação de OQ-012 (Portaria GM/MS nº 3.523/1998) reconhecendo evidências de aplicação atual</t>
        </is>
      </c>
      <c r="E8" s="13" t="inlineStr">
        <is>
          <t>XLS-003</t>
        </is>
      </c>
      <c r="F8" s="13" t="inlineStr">
        <is>
          <t>XLS-003, DOC-001</t>
        </is>
      </c>
    </row>
    <row r="9" ht="23.85" customHeight="1" s="8">
      <c r="A9" s="13" t="inlineStr">
        <is>
          <t>CHG-04</t>
        </is>
      </c>
      <c r="B9" s="13" t="inlineStr">
        <is>
          <t>22/09/2026</t>
        </is>
      </c>
      <c r="C9" s="13" t="inlineStr">
        <is>
          <t>Services.NET Phase 1 Audit — Approved</t>
        </is>
      </c>
      <c r="D9" s="13" t="inlineStr">
        <is>
          <t>CAP-033 separada entre capacidade estrutural (MVP) e conteúdo regulatório (não carregado sem validação)</t>
        </is>
      </c>
      <c r="E9" s="13" t="inlineStr">
        <is>
          <t>DOC-006, DOC-007 §3.1, OOS-015, AC-MVP-11, RTM</t>
        </is>
      </c>
      <c r="F9" s="13" t="inlineStr">
        <is>
          <t>DOC-003, DOC-006, DOC-007, XLS-005</t>
        </is>
      </c>
    </row>
    <row r="10" ht="23.85" customHeight="1" s="8">
      <c r="A10" s="13" t="inlineStr">
        <is>
          <t>CHG-05</t>
        </is>
      </c>
      <c r="B10" s="13" t="inlineStr">
        <is>
          <t>22/09/2026</t>
        </is>
      </c>
      <c r="C10" s="13" t="inlineStr">
        <is>
          <t>Services.NET Phase 1 Audit — Approved</t>
        </is>
      </c>
      <c r="D10" s="13" t="inlineStr">
        <is>
          <t>Remoção da prescrição física de coluna TenantId; mantida a regra semântica e de segurança</t>
        </is>
      </c>
      <c r="E10" s="13" t="inlineStr">
        <is>
          <t>DOC-001 §25, PE-02, NFR-MVP-01, DATA-001</t>
        </is>
      </c>
      <c r="F10" s="13" t="inlineStr">
        <is>
          <t>DOC-001, DOC-002, DOC-007, XLS-005</t>
        </is>
      </c>
    </row>
    <row r="11" ht="23.85" customHeight="1" s="8">
      <c r="A11" s="13" t="inlineStr">
        <is>
          <t>CHG-06</t>
        </is>
      </c>
      <c r="B11" s="13" t="inlineStr">
        <is>
          <t>22/09/2026</t>
        </is>
      </c>
      <c r="C11" s="13" t="inlineStr">
        <is>
          <t>Services.NET Phase 1 Audit — Approved</t>
        </is>
      </c>
      <c r="D11" s="13" t="inlineStr">
        <is>
          <t>Harmonização do tratamento de assinatura como 'A validar', sem nível presumido</t>
        </is>
      </c>
      <c r="E11" s="13" t="inlineStr">
        <is>
          <t>ASM-012, CAP-054, OOS-010, DOC-007, OQ-006</t>
        </is>
      </c>
      <c r="F11" s="13" t="inlineStr">
        <is>
          <t>DOC-003, DOC-005, DOC-006, DOC-007, XLS-001, XLS-003</t>
        </is>
      </c>
    </row>
    <row r="12" ht="23.85" customHeight="1" s="8">
      <c r="A12" s="13" t="inlineStr">
        <is>
          <t>CHG-07</t>
        </is>
      </c>
      <c r="B12" s="13" t="inlineStr">
        <is>
          <t>22/09/2026</t>
        </is>
      </c>
      <c r="C12" s="13" t="inlineStr">
        <is>
          <t>Services.NET Phase 1 Audit — Approved</t>
        </is>
      </c>
      <c r="D12" s="13" t="inlineStr">
        <is>
          <t>Reformulação de AC-MVP-03 (tipos de OS) e AC-MVP-08 (API First não literal)</t>
        </is>
      </c>
      <c r="E12" s="13" t="inlineStr">
        <is>
          <t>DOC-007 §6, DOC-001 §26, CAP-045, CAP-050</t>
        </is>
      </c>
      <c r="F12" s="13" t="inlineStr">
        <is>
          <t>DOC-001, DOC-006, DOC-007, XLS-005</t>
        </is>
      </c>
    </row>
    <row r="13" ht="23.85" customHeight="1" s="8">
      <c r="A13" s="13" t="inlineStr">
        <is>
          <t>CHG-08</t>
        </is>
      </c>
      <c r="B13" s="13" t="inlineStr">
        <is>
          <t>22/09/2026</t>
        </is>
      </c>
      <c r="C13" s="13" t="inlineStr">
        <is>
          <t>Services.NET Phase 1 Audit — Approved</t>
        </is>
      </c>
      <c r="D13" s="13" t="inlineStr">
        <is>
          <t>Separação das autoridades Jurídico (STK-007) e DPO (STK-021)</t>
        </is>
      </c>
      <c r="E13" s="13" t="inlineStr">
        <is>
          <t>DOC-004, RACI, XLS-001, XLS-002, XLS-003</t>
        </is>
      </c>
      <c r="F13" s="13" t="inlineStr">
        <is>
          <t>DOC-001, DOC-004, XLS-001, XLS-002, XLS-003</t>
        </is>
      </c>
    </row>
    <row r="14" ht="23.85" customHeight="1" s="8">
      <c r="A14" s="13" t="inlineStr">
        <is>
          <t>CHG-09</t>
        </is>
      </c>
      <c r="B14" s="13" t="inlineStr">
        <is>
          <t>22/09/2026</t>
        </is>
      </c>
      <c r="C14" s="13" t="inlineStr">
        <is>
          <t>Services.NET Phase 1 Audit — Approved</t>
        </is>
      </c>
      <c r="D14" s="13" t="inlineStr">
        <is>
          <t>ADR-008 posicionado como pré-requisito das partes dependentes do modelo de Compliance as Data</t>
        </is>
      </c>
      <c r="E14" s="13" t="inlineStr">
        <is>
          <t>DOC-008 W1 e §5; ADR Register; DEP-009</t>
        </is>
      </c>
      <c r="F14" s="13" t="inlineStr">
        <is>
          <t>DOC-008, XLS-001, XLS-004</t>
        </is>
      </c>
    </row>
    <row r="15" ht="23.85" customHeight="1" s="8">
      <c r="A15" s="13" t="inlineStr">
        <is>
          <t>CHG-10</t>
        </is>
      </c>
      <c r="B15" s="13" t="inlineStr">
        <is>
          <t>22/09/2026</t>
        </is>
      </c>
      <c r="C15" s="13" t="inlineStr">
        <is>
          <t>Services.NET Phase 1 Audit — Approved</t>
        </is>
      </c>
      <c r="D15" s="13" t="inlineStr">
        <is>
          <t>Princípio PP-13 — preservação do estado de referência do PMOC emitido</t>
        </is>
      </c>
      <c r="E15" s="13" t="inlineStr">
        <is>
          <t>DOC-001 §9.2, DOC-002 PP-13, CAP-037, AC-MVP-02, OQ-020, RSK-019</t>
        </is>
      </c>
      <c r="F15" s="13" t="inlineStr">
        <is>
          <t>DOC-001, DOC-002, DOC-005, DOC-006, DOC-007, XLS-002, XLS-003</t>
        </is>
      </c>
    </row>
    <row r="16" ht="23.85" customHeight="1" s="8">
      <c r="A16" s="13" t="inlineStr">
        <is>
          <t>CHG-11</t>
        </is>
      </c>
      <c r="B16" s="13" t="inlineStr">
        <is>
          <t>22/09/2026</t>
        </is>
      </c>
      <c r="C16" s="13" t="inlineStr">
        <is>
          <t>Services.NET Phase 1 Audit — Approved</t>
        </is>
      </c>
      <c r="D16" s="13" t="inlineStr">
        <is>
          <t>Correção das fórmulas de consolidação das abas Summary</t>
        </is>
      </c>
      <c r="E16" s="13" t="inlineStr">
        <is>
          <t>XLS-001 (restrições e dependências contavam o cabeçalho); verificação estendida às demais planilhas</t>
        </is>
      </c>
      <c r="F16" s="13" t="inlineStr">
        <is>
          <t>XLS-001, XLS-002, XLS-003</t>
        </is>
      </c>
    </row>
    <row r="17" ht="23.85" customHeight="1" s="8">
      <c r="A17" s="13" t="inlineStr">
        <is>
          <t>CHG-12</t>
        </is>
      </c>
      <c r="B17" s="13" t="inlineStr">
        <is>
          <t>22/09/2026</t>
        </is>
      </c>
      <c r="C17" s="13" t="inlineStr">
        <is>
          <t>Services.NET Phase 1 Audit — Approved</t>
        </is>
      </c>
      <c r="D17" s="13" t="inlineStr">
        <is>
          <t>Correção da consolidação de capacidades: 79 no total e 50 no MVP (a v0.1 declarava 77 e 43)</t>
        </is>
      </c>
      <c r="E17" s="13" t="inlineStr">
        <is>
          <t>DOC-006 §4; DOC-007 §3. Catálogo não foi alterado</t>
        </is>
      </c>
      <c r="F17" s="13" t="inlineStr">
        <is>
          <t>DOC-001, DOC-006, DOC-007</t>
        </is>
      </c>
    </row>
    <row r="18" ht="23.85" customHeight="1" s="8">
      <c r="A18" s="13" t="inlineStr">
        <is>
          <t>CHG-13</t>
        </is>
      </c>
      <c r="B18" s="13" t="inlineStr">
        <is>
          <t>22/09/2026</t>
        </is>
      </c>
      <c r="C18" s="13" t="inlineStr">
        <is>
          <t>Services.NET Phase 1 Audit — Approved</t>
        </is>
      </c>
      <c r="D18" s="13" t="inlineStr">
        <is>
          <t>Overview_Project.md marcado como REFERENCE / NON-AUTHORITATIVE e correção da duplicidade de AGENTS.md</t>
        </is>
      </c>
      <c r="E18" s="13" t="inlineStr">
        <is>
          <t>Patch entregue à parte; arquivo-fonte não disponível neste ambiente</t>
        </is>
      </c>
      <c r="F18" s="13" t="inlineStr">
        <is>
          <t>Overview_Project.md, DOC-001 §30, CON-010</t>
        </is>
      </c>
    </row>
    <row r="19" ht="15" customHeight="1" s="8">
      <c r="A19" s="13" t="inlineStr">
        <is>
          <t>CHG-14</t>
        </is>
      </c>
      <c r="B19" s="13" t="inlineStr">
        <is>
          <t>22/09/2026</t>
        </is>
      </c>
      <c r="C19" s="13" t="inlineStr">
        <is>
          <t>Services.NET Phase 1 Audit — Approved</t>
        </is>
      </c>
      <c r="D19" s="13" t="inlineStr">
        <is>
          <t>Padronização de terminologia oficial da Fase 1</t>
        </is>
      </c>
      <c r="E19" s="13" t="inlineStr">
        <is>
          <t>DOC-003 §11; aplicada aos demais artefatos</t>
        </is>
      </c>
      <c r="F19" s="13" t="inlineStr">
        <is>
          <t>Todos os artefatos</t>
        </is>
      </c>
    </row>
    <row r="20" s="8">
      <c r="A20" s="13" t="inlineStr">
        <is>
          <t>CODEX-REVIEW-01</t>
        </is>
      </c>
      <c r="B20" s="13" t="inlineStr">
        <is>
          <t>22/09/2026</t>
        </is>
      </c>
      <c r="C20" s="13" t="inlineStr">
        <is>
          <t>Services.NET — revisão final local da Fase 1 v0.2</t>
        </is>
      </c>
      <c r="D20" s="13" t="inlineStr">
        <is>
          <t>Validação e conclusão técnica local da revisão v0.2 produzida pelo Opus, com fechamento de OQ-019, reformulação de OQ-010/OQ-012/OQ-021, aplicação do Overview patch, higienização de nomes canônicos e criação inicial de DEC-011 como proposta (posteriormente aprovada em APPROVAL-01)</t>
        </is>
      </c>
      <c r="E20" s="13" t="inlineStr">
        <is>
          <t>Revisão pós-Opus executada por Codex; não iniciou Fase 2 e não aprovou decisões naquele momento</t>
        </is>
      </c>
      <c r="F20" s="13" t="inlineStr">
        <is>
          <t>DOC-001, DOC-006, DOC-008, XLS-001, XLS-002, XLS-003, XLS-004, XLS-005, Overview_Project.md, PHASE-01-REVIEW, CHANGE-REPORT, DIA-001</t>
        </is>
      </c>
    </row>
    <row r="21" s="8">
      <c r="A21" s="13" t="inlineStr">
        <is>
          <t>APPROVAL-01</t>
        </is>
      </c>
      <c r="B21" s="13" t="inlineStr">
        <is>
          <t>22/09/2026</t>
        </is>
      </c>
      <c r="C21" s="13" t="inlineStr">
        <is>
          <t>Services.NET — segunda revisão formal da Fase 1 v0.2</t>
        </is>
      </c>
      <c r="D21" s="13" t="inlineStr">
        <is>
          <t>Formalização final da aprovação da Fase 1 v0.2 como APPROVED WITH OPEN ACTIONS; definição de Sponsor, Product Owner institucional, tenant-piloto e aprovação de DEC-011</t>
        </is>
      </c>
      <c r="E21" s="13" t="inlineStr">
        <is>
          <t>Aprovação do pacote documental como base para avanço futuro; não inicia Fase 2, não decide ADRs, não altera arquitetura, não cria requisitos e não aprova automaticamente DEC-001 a DEC-010</t>
        </is>
      </c>
      <c r="F21" s="13" t="inlineStr">
        <is>
          <t>DOC-001, DOC-004, XLS-001, XLS-003, XLS-004, Overview_Project.md, PHASE-01-REVIEW, CHANGE-REPORT</t>
        </is>
      </c>
    </row>
  </sheetData>
  <autoFilter ref="A4:F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7" min="1" max="1"/>
    <col width="14" customWidth="1" style="7" min="2" max="2"/>
  </cols>
  <sheetData>
    <row r="1" ht="17.35" customHeight="1" s="8">
      <c r="A1" s="9" t="inlineStr">
        <is>
          <t>XLS-004 — Resumo (v0.2)</t>
        </is>
      </c>
    </row>
    <row r="2" ht="15" customHeight="1" s="8">
      <c r="A2" s="10" t="inlineStr">
        <is>
          <t>Contagens calculadas sobre as linhas de dados (a linha de cabeçalho está na linha 4 e é excluída).</t>
        </is>
      </c>
    </row>
    <row r="3"/>
    <row r="4" ht="15" customHeight="1" s="8">
      <c r="A4" s="15" t="inlineStr">
        <is>
          <t>Decisões registradas</t>
        </is>
      </c>
      <c r="B4" s="15">
        <f>COUNTA('Decision Log'!A5:A200)</f>
        <v/>
      </c>
    </row>
    <row r="5" ht="15" customHeight="1" s="8">
      <c r="A5" s="15" t="inlineStr">
        <is>
          <t>Decisões com status Proposta</t>
        </is>
      </c>
      <c r="B5" s="15">
        <f>COUNTIF('Decision Log'!G5:G200,"Proposta")</f>
        <v/>
      </c>
    </row>
    <row r="6" ht="15" customHeight="1" s="8">
      <c r="A6" s="15" t="inlineStr">
        <is>
          <t>Decisões com status Aprovada</t>
        </is>
      </c>
      <c r="B6" s="15">
        <f>COUNTIF('Decision Log'!G5:G200,"Aprovada")</f>
        <v/>
      </c>
    </row>
    <row r="7" ht="15" customHeight="1" s="8">
      <c r="A7" s="15" t="inlineStr">
        <is>
          <t>ADRs indexados</t>
        </is>
      </c>
      <c r="B7" s="15">
        <f>COUNTA('ADR Register'!A5:A200)</f>
        <v/>
      </c>
    </row>
    <row r="8" ht="15" customHeight="1" s="8">
      <c r="A8" s="15" t="inlineStr">
        <is>
          <t>ADRs decididos</t>
        </is>
      </c>
      <c r="B8" s="15" t="n">
        <v>0</v>
      </c>
    </row>
    <row r="9" ht="15" customHeight="1" s="8">
      <c r="A9" s="15" t="inlineStr">
        <is>
          <t>Itens de controle de mudança</t>
        </is>
      </c>
      <c r="B9" s="15">
        <f>COUNTA('Change Control'!A5:A200)</f>
        <v/>
      </c>
    </row>
    <row r="10" ht="15" customHeight="1" s="8">
      <c r="A10" s="15" t="n"/>
      <c r="B10" s="15" t="n"/>
    </row>
    <row r="11" ht="15" customHeight="1" s="8">
      <c r="A11" s="15" t="inlineStr">
        <is>
          <t>Esperado — decisões após formalização final</t>
        </is>
      </c>
      <c r="B11" s="15" t="n">
        <v>11</v>
      </c>
    </row>
    <row r="12" ht="15" customHeight="1" s="8">
      <c r="A12" s="15" t="inlineStr">
        <is>
          <t>Esperado — ADRs</t>
        </is>
      </c>
      <c r="B12" s="15" t="n">
        <v>8</v>
      </c>
    </row>
    <row r="13">
      <c r="A13" s="7" t="inlineStr">
        <is>
          <t>Esperado — decisões após formalização final</t>
        </is>
      </c>
      <c r="B13" s="7" t="n">
        <v>11</v>
      </c>
    </row>
    <row r="14">
      <c r="A14" s="7" t="inlineStr">
        <is>
          <t>Esperado — decisões Proposta</t>
        </is>
      </c>
      <c r="B14" s="7" t="n">
        <v>10</v>
      </c>
    </row>
    <row r="15">
      <c r="A15" s="7" t="inlineStr">
        <is>
          <t>Esperado — decisões Aprovada</t>
        </is>
      </c>
      <c r="B15" s="7" t="n">
        <v>1</v>
      </c>
    </row>
    <row r="16">
      <c r="A16" s="7" t="inlineStr">
        <is>
          <t>Esperado — itens de controle de mudança</t>
        </is>
      </c>
      <c r="B16" s="7" t="n">
        <v>17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2026-09-22T20:35:44Z</dcterms:created>
  <dcterms:modified xmlns:dcterms="http://purl.org/dc/terms/" xmlns:xsi="http://www.w3.org/2001/XMLSchema-instance" xsi:type="dcterms:W3CDTF">2026-09-23T00:15:22Z</dcterms:modified>
  <cp:lastModifiedBy>MACIEL LIMA DE JESUS, ALAN</cp:lastModifiedBy>
  <cp:revision>0</cp:revision>
</cp:coreProperties>
</file>