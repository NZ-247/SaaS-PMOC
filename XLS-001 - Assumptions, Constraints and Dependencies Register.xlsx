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nstraints" sheetId="2" state="visible" r:id="rId4"/>
    <sheet name="Dependencies" sheetId="3" state="visible" r:id="rId5"/>
    <sheet name="Summary" sheetId="4" state="visible" r:id="rId6"/>
  </sheets>
  <definedNames>
    <definedName function="false" hidden="true" localSheetId="0" name="_xlnm._FilterDatabase" vbProcedure="false">Assumptions!$A$4:$H$16</definedName>
    <definedName function="false" hidden="true" localSheetId="1" name="_xlnm._FilterDatabase" vbProcedure="false">Constraints!$A$4:$E$16</definedName>
    <definedName function="false" hidden="true" localSheetId="2" name="_xlnm._FilterDatabase" vbProcedure="false">Dependencies!$A$4:$F$13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<sst xmlns="http://schemas.openxmlformats.org/spreadsheetml/2006/main" count="238" uniqueCount="169">
  <si>
    <t xml:space="preserve">XLS-001 — Assumptions, Constraints and Dependencies Register</t>
  </si>
  <si>
    <t xml:space="preserve">PMOC Software | Fase 1 | v0.1 DRAFT | 22/09/2026 | Hipótese NÃO é requisito confirmado.</t>
  </si>
  <si>
    <t xml:space="preserve">ID</t>
  </si>
  <si>
    <t xml:space="preserve">Categoria</t>
  </si>
  <si>
    <t xml:space="preserve">Hipótese assumida</t>
  </si>
  <si>
    <t xml:space="preserve">Impacto se falsa</t>
  </si>
  <si>
    <t xml:space="preserve">Responsável pela validação</t>
  </si>
  <si>
    <t xml:space="preserve">Status</t>
  </si>
  <si>
    <t xml:space="preserve">Prazo de validação</t>
  </si>
  <si>
    <t xml:space="preserve">Referência</t>
  </si>
  <si>
    <t xml:space="preserve">ASM-001</t>
  </si>
  <si>
    <t xml:space="preserve">Produto</t>
  </si>
  <si>
    <t xml:space="preserve">Existe um cliente-piloto (empresa prestadora de climatização) disponível para validar requisitos e operar o MVP</t>
  </si>
  <si>
    <t xml:space="preserve">Alto — sem piloto, requisitos da Fase 2 seriam presumidos</t>
  </si>
  <si>
    <t xml:space="preserve">Product Owner</t>
  </si>
  <si>
    <t xml:space="preserve">Aberta</t>
  </si>
  <si>
    <t xml:space="preserve">Fase 2</t>
  </si>
  <si>
    <t xml:space="preserve">OQ-010</t>
  </si>
  <si>
    <t xml:space="preserve">ASM-002</t>
  </si>
  <si>
    <t xml:space="preserve">Operação</t>
  </si>
  <si>
    <t xml:space="preserve">A Services.NET opera a plataforma SaaS e responde por disponibilidade e SLA</t>
  </si>
  <si>
    <t xml:space="preserve">Alto — define responsabilidades de infraestrutura e contrato</t>
  </si>
  <si>
    <t xml:space="preserve">Patrocinador</t>
  </si>
  <si>
    <t xml:space="preserve">Fase 1</t>
  </si>
  <si>
    <t xml:space="preserve">OQ-011</t>
  </si>
  <si>
    <t xml:space="preserve">ASM-003</t>
  </si>
  <si>
    <t xml:space="preserve">Negócio</t>
  </si>
  <si>
    <t xml:space="preserve">O cenário atual do mercado-alvo é baseado em planilhas e documentos avulsos</t>
  </si>
  <si>
    <t xml:space="preserve">Médio — sustenta a proposta de valor</t>
  </si>
  <si>
    <t xml:space="preserve">ASM-004</t>
  </si>
  <si>
    <t xml:space="preserve">Técnica</t>
  </si>
  <si>
    <t xml:space="preserve">Há conectividade suficiente para uso Web no campo durante o MVP</t>
  </si>
  <si>
    <t xml:space="preserve">Alto — se falso, antecipa PWA/offline para W1</t>
  </si>
  <si>
    <t xml:space="preserve">Architect</t>
  </si>
  <si>
    <t xml:space="preserve">RSK-MVP-02</t>
  </si>
  <si>
    <t xml:space="preserve">ASM-005</t>
  </si>
  <si>
    <t xml:space="preserve">Regulatória</t>
  </si>
  <si>
    <t xml:space="preserve">A jurisdição inicial é exclusivamente Brasil</t>
  </si>
  <si>
    <t xml:space="preserve">Alto — define o modelo regulatório inicial</t>
  </si>
  <si>
    <t xml:space="preserve">Jurídico</t>
  </si>
  <si>
    <t xml:space="preserve">ASM-006</t>
  </si>
  <si>
    <t xml:space="preserve">Privacidade</t>
  </si>
  <si>
    <t xml:space="preserve">Os dados pessoais tratados limitam-se a contexto profissional e de contato</t>
  </si>
  <si>
    <t xml:space="preserve">Alto — afeta DPIA e bases legais</t>
  </si>
  <si>
    <t xml:space="preserve">Jurídico/DPO</t>
  </si>
  <si>
    <t xml:space="preserve">COMP</t>
  </si>
  <si>
    <t xml:space="preserve">ASM-007</t>
  </si>
  <si>
    <t xml:space="preserve">Arquitetura</t>
  </si>
  <si>
    <t xml:space="preserve">O MVP terá um tenant em produção, sem que isso dispense multi-tenancy</t>
  </si>
  <si>
    <t xml:space="preserve">Médio — afeta prioridade do ADR-001</t>
  </si>
  <si>
    <t xml:space="preserve">Fase 5</t>
  </si>
  <si>
    <t xml:space="preserve">ADR-001</t>
  </si>
  <si>
    <t xml:space="preserve">ASM-008</t>
  </si>
  <si>
    <t xml:space="preserve">A prestadora possui responsável técnico habilitado; a plataforma não substitui essa responsabilidade</t>
  </si>
  <si>
    <t xml:space="preserve">Alto — limita responsabilidade do produto</t>
  </si>
  <si>
    <t xml:space="preserve">ASM-009</t>
  </si>
  <si>
    <t xml:space="preserve">UX</t>
  </si>
  <si>
    <t xml:space="preserve">As personas do DOC-005 refletem os papéis reais do piloto</t>
  </si>
  <si>
    <t xml:space="preserve">Médio — direciona UX do MVP</t>
  </si>
  <si>
    <t xml:space="preserve">OQ-009</t>
  </si>
  <si>
    <t xml:space="preserve">ASM-010</t>
  </si>
  <si>
    <t xml:space="preserve">Equipamento é a menor unidade de inventário necessária ao MVP (componente é Pós-MVP)</t>
  </si>
  <si>
    <t xml:space="preserve">Médio — afeta modelo de domínio e checklists</t>
  </si>
  <si>
    <t xml:space="preserve">Resp. técnico</t>
  </si>
  <si>
    <t xml:space="preserve">CAP-023</t>
  </si>
  <si>
    <t xml:space="preserve">ASM-011</t>
  </si>
  <si>
    <t xml:space="preserve">Conformidade</t>
  </si>
  <si>
    <t xml:space="preserve">Periodicidades e parâmetros de manutenção serão fornecidos por responsável técnico habilitado</t>
  </si>
  <si>
    <t xml:space="preserve">Alto — a engenharia não arbitra regra técnica</t>
  </si>
  <si>
    <t xml:space="preserve">OQ-004</t>
  </si>
  <si>
    <t xml:space="preserve">ASM-012</t>
  </si>
  <si>
    <t xml:space="preserve">Assinatura simples em tela é suficiente para o MVP, sem exigência de ICP-Brasil</t>
  </si>
  <si>
    <t xml:space="preserve">Alto — afeta valor probatório</t>
  </si>
  <si>
    <t xml:space="preserve">OQ-006</t>
  </si>
  <si>
    <t xml:space="preserve">XLS-001 — Constraints</t>
  </si>
  <si>
    <t xml:space="preserve">Restrições que limitam decisões de produto e arquitetura.</t>
  </si>
  <si>
    <t xml:space="preserve">Restrição</t>
  </si>
  <si>
    <t xml:space="preserve">Origem</t>
  </si>
  <si>
    <t xml:space="preserve">Rigidez</t>
  </si>
  <si>
    <t xml:space="preserve">CON-001</t>
  </si>
  <si>
    <t xml:space="preserve">Governança</t>
  </si>
  <si>
    <t xml:space="preserve">Nenhuma escolha tecnológica é definitiva antes de ADR aprovado</t>
  </si>
  <si>
    <t xml:space="preserve">Master Specification §11</t>
  </si>
  <si>
    <t xml:space="preserve">Alta</t>
  </si>
  <si>
    <t xml:space="preserve">CON-002</t>
  </si>
  <si>
    <t xml:space="preserve">O MVP deve ser utilizável por navegador (Web First)</t>
  </si>
  <si>
    <t xml:space="preserve">Master Specification §7</t>
  </si>
  <si>
    <t xml:space="preserve">CON-003</t>
  </si>
  <si>
    <t xml:space="preserve">Arquitetura API First e multi-tenant desde a concepção</t>
  </si>
  <si>
    <t xml:space="preserve">Master Specification §6 e §12</t>
  </si>
  <si>
    <t xml:space="preserve">CON-004</t>
  </si>
  <si>
    <t xml:space="preserve">Legal</t>
  </si>
  <si>
    <t xml:space="preserve">Normas técnicas protegidas por direito autoral não podem ser reproduzidas integralmente</t>
  </si>
  <si>
    <t xml:space="preserve">Master Specification §8</t>
  </si>
  <si>
    <t xml:space="preserve">CON-005</t>
  </si>
  <si>
    <t xml:space="preserve">Bases legais da LGPD e interpretação normativa exigem validação jurídica externa</t>
  </si>
  <si>
    <t xml:space="preserve">Master Specification §16</t>
  </si>
  <si>
    <t xml:space="preserve">CON-006</t>
  </si>
  <si>
    <t xml:space="preserve">Microsserviço exige justificativa objetiva; preferência por Modular Monolith</t>
  </si>
  <si>
    <t xml:space="preserve">Master Specification §10</t>
  </si>
  <si>
    <t xml:space="preserve">Média</t>
  </si>
  <si>
    <t xml:space="preserve">CON-007</t>
  </si>
  <si>
    <t xml:space="preserve">Segurança</t>
  </si>
  <si>
    <t xml:space="preserve">Identificadores sequenciais não podem ser expostos externamente sem avaliação</t>
  </si>
  <si>
    <t xml:space="preserve">Master Specification §13</t>
  </si>
  <si>
    <t xml:space="preserve">CON-008</t>
  </si>
  <si>
    <t xml:space="preserve">Processo</t>
  </si>
  <si>
    <t xml:space="preserve">Nenhuma fase avança sem decisões, dúvidas, riscos, dependências, pendências e critérios de aceite registrados</t>
  </si>
  <si>
    <t xml:space="preserve">Master Specification §17</t>
  </si>
  <si>
    <t xml:space="preserve">CON-009</t>
  </si>
  <si>
    <t xml:space="preserve">Planejamento</t>
  </si>
  <si>
    <t xml:space="preserve">Equipe, orçamento e prazo não informados; roadmap sem datas</t>
  </si>
  <si>
    <t xml:space="preserve">CON-010</t>
  </si>
  <si>
    <t xml:space="preserve">Documental</t>
  </si>
  <si>
    <t xml:space="preserve">Cada informação possui uma única fonte autoritativa (M365 ou Git)</t>
  </si>
  <si>
    <t xml:space="preserve">Master Specification §21</t>
  </si>
  <si>
    <t xml:space="preserve">CON-011</t>
  </si>
  <si>
    <t xml:space="preserve">Compliance</t>
  </si>
  <si>
    <t xml:space="preserve">Regras, periodicidades e parâmetros não podem residir em código</t>
  </si>
  <si>
    <t xml:space="preserve">Master Specification §9</t>
  </si>
  <si>
    <t xml:space="preserve">CON-012</t>
  </si>
  <si>
    <t xml:space="preserve">Agentes de IA não alteram decisão estruturante sem ADR e aprovação</t>
  </si>
  <si>
    <t xml:space="preserve">Master Specification §22</t>
  </si>
  <si>
    <t xml:space="preserve">XLS-001 — Dependencies</t>
  </si>
  <si>
    <t xml:space="preserve">Dependências externas, de cliente e internas.</t>
  </si>
  <si>
    <t xml:space="preserve">Tipo</t>
  </si>
  <si>
    <t xml:space="preserve">Dependência</t>
  </si>
  <si>
    <t xml:space="preserve">Responsável</t>
  </si>
  <si>
    <t xml:space="preserve">Impacto se não atendida</t>
  </si>
  <si>
    <t xml:space="preserve">DEP-001</t>
  </si>
  <si>
    <t xml:space="preserve">Externa</t>
  </si>
  <si>
    <t xml:space="preserve">Parecer jurídico sobre referencial regulatório vigente e LGPD</t>
  </si>
  <si>
    <t xml:space="preserve">Bloqueia CAP-033, CAP-038, CAP-095</t>
  </si>
  <si>
    <t xml:space="preserve">DEP-002</t>
  </si>
  <si>
    <t xml:space="preserve">Parecer de responsável técnico sobre periodicidades e parâmetros</t>
  </si>
  <si>
    <t xml:space="preserve">Bloqueia CAP-032, CAP-036</t>
  </si>
  <si>
    <t xml:space="preserve">DEP-003</t>
  </si>
  <si>
    <t xml:space="preserve">Aquisição legítima das normas técnicas ABNT aplicáveis</t>
  </si>
  <si>
    <t xml:space="preserve">Services.NET</t>
  </si>
  <si>
    <t xml:space="preserve">Bloqueia Fase 2</t>
  </si>
  <si>
    <t xml:space="preserve">DEP-004</t>
  </si>
  <si>
    <t xml:space="preserve">Cliente</t>
  </si>
  <si>
    <t xml:space="preserve">Disponibilidade do cliente-piloto para levantamento</t>
  </si>
  <si>
    <t xml:space="preserve">DEP-005</t>
  </si>
  <si>
    <t xml:space="preserve">Base de inventário inicial para carga</t>
  </si>
  <si>
    <t xml:space="preserve">Cliente-piloto</t>
  </si>
  <si>
    <t xml:space="preserve">Bloqueia go-live do MVP</t>
  </si>
  <si>
    <t xml:space="preserve">DEP-006</t>
  </si>
  <si>
    <t xml:space="preserve">Infra</t>
  </si>
  <si>
    <t xml:space="preserve">Definição de provedor de nuvem, object storage e identidade</t>
  </si>
  <si>
    <t xml:space="preserve">Architect/Ops</t>
  </si>
  <si>
    <t xml:space="preserve">Bloqueia Fase 9</t>
  </si>
  <si>
    <t xml:space="preserve">DEP-007</t>
  </si>
  <si>
    <t xml:space="preserve">Repositório Git e pipeline de CI/CD</t>
  </si>
  <si>
    <t xml:space="preserve">Engenharia</t>
  </si>
  <si>
    <t xml:space="preserve">Bloqueia W1</t>
  </si>
  <si>
    <t xml:space="preserve">DEP-008</t>
  </si>
  <si>
    <t xml:space="preserve">Interna</t>
  </si>
  <si>
    <t xml:space="preserve">Designação de patrocinador e Product Owner</t>
  </si>
  <si>
    <t xml:space="preserve">Bloqueia aprovação da Fase 1</t>
  </si>
  <si>
    <t xml:space="preserve">DEP-009</t>
  </si>
  <si>
    <t xml:space="preserve">Decisão ADR-001 (multi-tenancy) e ADR-002 (identificadores)</t>
  </si>
  <si>
    <t xml:space="preserve">Bloqueia início de implementação</t>
  </si>
  <si>
    <t xml:space="preserve">XLS-001 — Resumo</t>
  </si>
  <si>
    <t xml:space="preserve">Hipóteses registradas</t>
  </si>
  <si>
    <t xml:space="preserve">Hipóteses abertas</t>
  </si>
  <si>
    <t xml:space="preserve">Restrições registradas</t>
  </si>
  <si>
    <t xml:space="preserve">Dependências registradas</t>
  </si>
  <si>
    <t xml:space="preserve">Dependências abertas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</si>
</sst>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23.85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15</v>
      </c>
      <c r="G6" s="4" t="s">
        <v>23</v>
      </c>
      <c r="H6" s="4" t="s">
        <v>24</v>
      </c>
    </row>
    <row r="7" customFormat="false" ht="23.8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14</v>
      </c>
      <c r="F7" s="4" t="s">
        <v>15</v>
      </c>
      <c r="G7" s="4" t="s">
        <v>16</v>
      </c>
      <c r="H7" s="4"/>
    </row>
    <row r="8" customFormat="false" ht="23.8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15</v>
      </c>
      <c r="G8" s="4" t="s">
        <v>16</v>
      </c>
      <c r="H8" s="4" t="s">
        <v>34</v>
      </c>
    </row>
    <row r="9" customFormat="false" ht="15" hidden="false" customHeight="false" outlineLevel="0" collapsed="false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15</v>
      </c>
      <c r="G9" s="4" t="s">
        <v>16</v>
      </c>
      <c r="H9" s="4"/>
    </row>
    <row r="10" customFormat="false" ht="23.85" hidden="false" customHeight="false" outlineLevel="0" collapsed="false">
      <c r="A10" s="4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15</v>
      </c>
      <c r="G10" s="4" t="s">
        <v>16</v>
      </c>
      <c r="H10" s="4" t="s">
        <v>45</v>
      </c>
    </row>
    <row r="11" customFormat="false" ht="23.85" hidden="false" customHeight="false" outlineLevel="0" collapsed="false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33</v>
      </c>
      <c r="F11" s="4" t="s">
        <v>15</v>
      </c>
      <c r="G11" s="4" t="s">
        <v>50</v>
      </c>
      <c r="H11" s="4" t="s">
        <v>51</v>
      </c>
    </row>
    <row r="12" customFormat="false" ht="23.85" hidden="false" customHeight="false" outlineLevel="0" collapsed="false">
      <c r="A12" s="4" t="s">
        <v>52</v>
      </c>
      <c r="B12" s="4" t="s">
        <v>26</v>
      </c>
      <c r="C12" s="4" t="s">
        <v>53</v>
      </c>
      <c r="D12" s="4" t="s">
        <v>54</v>
      </c>
      <c r="E12" s="4" t="s">
        <v>39</v>
      </c>
      <c r="F12" s="4" t="s">
        <v>15</v>
      </c>
      <c r="G12" s="4" t="s">
        <v>16</v>
      </c>
      <c r="H12" s="4"/>
    </row>
    <row r="13" customFormat="false" ht="15" hidden="false" customHeight="false" outlineLevel="0" collapsed="false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14</v>
      </c>
      <c r="F13" s="4" t="s">
        <v>15</v>
      </c>
      <c r="G13" s="4" t="s">
        <v>16</v>
      </c>
      <c r="H13" s="4" t="s">
        <v>59</v>
      </c>
    </row>
    <row r="14" customFormat="false" ht="23.85" hidden="false" customHeight="false" outlineLevel="0" collapsed="false">
      <c r="A14" s="4" t="s">
        <v>60</v>
      </c>
      <c r="B14" s="4" t="s">
        <v>30</v>
      </c>
      <c r="C14" s="4" t="s">
        <v>61</v>
      </c>
      <c r="D14" s="4" t="s">
        <v>62</v>
      </c>
      <c r="E14" s="4" t="s">
        <v>63</v>
      </c>
      <c r="F14" s="4" t="s">
        <v>15</v>
      </c>
      <c r="G14" s="4" t="s">
        <v>16</v>
      </c>
      <c r="H14" s="4" t="s">
        <v>64</v>
      </c>
    </row>
    <row r="15" customFormat="false" ht="23.85" hidden="false" customHeight="false" outlineLevel="0" collapsed="false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63</v>
      </c>
      <c r="F15" s="4" t="s">
        <v>15</v>
      </c>
      <c r="G15" s="4" t="s">
        <v>16</v>
      </c>
      <c r="H15" s="4" t="s">
        <v>69</v>
      </c>
    </row>
    <row r="16" customFormat="false" ht="23.85" hidden="false" customHeight="false" outlineLevel="0" collapsed="false">
      <c r="A16" s="4" t="s">
        <v>70</v>
      </c>
      <c r="B16" s="4" t="s">
        <v>11</v>
      </c>
      <c r="C16" s="4" t="s">
        <v>71</v>
      </c>
      <c r="D16" s="4" t="s">
        <v>72</v>
      </c>
      <c r="E16" s="4" t="s">
        <v>39</v>
      </c>
      <c r="F16" s="4" t="s">
        <v>15</v>
      </c>
      <c r="G16" s="4" t="s">
        <v>16</v>
      </c>
      <c r="H16" s="4" t="s">
        <v>73</v>
      </c>
    </row>
  </sheetData>
  <autoFilter ref="A4:H16"/>
  <dataValidations count="1">
    <dataValidation allowBlank="true" errorStyle="stop" operator="between" showDropDown="false" showErrorMessage="false" showInputMessage="false" sqref="F5:F46" type="list">
      <formula1>"Aberta,Validada,Refutada,Substituída"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64"/>
    <col collapsed="false" customWidth="true" hidden="false" outlineLevel="0" max="4" min="4" style="0" width="3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76</v>
      </c>
      <c r="D4" s="3" t="s">
        <v>77</v>
      </c>
      <c r="E4" s="3" t="s">
        <v>78</v>
      </c>
    </row>
    <row r="5" customFormat="false" ht="15" hidden="false" customHeight="false" outlineLevel="0" collapsed="false">
      <c r="A5" s="4" t="s">
        <v>79</v>
      </c>
      <c r="B5" s="4" t="s">
        <v>80</v>
      </c>
      <c r="C5" s="4" t="s">
        <v>81</v>
      </c>
      <c r="D5" s="4" t="s">
        <v>82</v>
      </c>
      <c r="E5" s="4" t="s">
        <v>83</v>
      </c>
    </row>
    <row r="6" customFormat="false" ht="15" hidden="false" customHeight="false" outlineLevel="0" collapsed="false">
      <c r="A6" s="4" t="s">
        <v>84</v>
      </c>
      <c r="B6" s="4" t="s">
        <v>11</v>
      </c>
      <c r="C6" s="4" t="s">
        <v>85</v>
      </c>
      <c r="D6" s="4" t="s">
        <v>86</v>
      </c>
      <c r="E6" s="4" t="s">
        <v>83</v>
      </c>
    </row>
    <row r="7" customFormat="false" ht="15" hidden="false" customHeight="false" outlineLevel="0" collapsed="false">
      <c r="A7" s="4" t="s">
        <v>87</v>
      </c>
      <c r="B7" s="4" t="s">
        <v>47</v>
      </c>
      <c r="C7" s="4" t="s">
        <v>88</v>
      </c>
      <c r="D7" s="4" t="s">
        <v>89</v>
      </c>
      <c r="E7" s="4" t="s">
        <v>83</v>
      </c>
    </row>
    <row r="8" customFormat="false" ht="23.85" hidden="false" customHeight="false" outlineLevel="0" collapsed="false">
      <c r="A8" s="4" t="s">
        <v>90</v>
      </c>
      <c r="B8" s="4" t="s">
        <v>91</v>
      </c>
      <c r="C8" s="4" t="s">
        <v>92</v>
      </c>
      <c r="D8" s="4" t="s">
        <v>93</v>
      </c>
      <c r="E8" s="4" t="s">
        <v>83</v>
      </c>
    </row>
    <row r="9" customFormat="false" ht="23.85" hidden="false" customHeight="false" outlineLevel="0" collapsed="false">
      <c r="A9" s="4" t="s">
        <v>94</v>
      </c>
      <c r="B9" s="4" t="s">
        <v>91</v>
      </c>
      <c r="C9" s="4" t="s">
        <v>95</v>
      </c>
      <c r="D9" s="4" t="s">
        <v>96</v>
      </c>
      <c r="E9" s="4" t="s">
        <v>83</v>
      </c>
    </row>
    <row r="10" customFormat="false" ht="15" hidden="false" customHeight="false" outlineLevel="0" collapsed="false">
      <c r="A10" s="4" t="s">
        <v>97</v>
      </c>
      <c r="B10" s="4" t="s">
        <v>47</v>
      </c>
      <c r="C10" s="4" t="s">
        <v>98</v>
      </c>
      <c r="D10" s="4" t="s">
        <v>99</v>
      </c>
      <c r="E10" s="4" t="s">
        <v>100</v>
      </c>
    </row>
    <row r="11" customFormat="false" ht="23.85" hidden="false" customHeight="false" outlineLevel="0" collapsed="false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83</v>
      </c>
    </row>
    <row r="12" customFormat="false" ht="23.85" hidden="false" customHeight="false" outlineLevel="0" collapsed="false">
      <c r="A12" s="4" t="s">
        <v>105</v>
      </c>
      <c r="B12" s="4" t="s">
        <v>106</v>
      </c>
      <c r="C12" s="4" t="s">
        <v>107</v>
      </c>
      <c r="D12" s="4" t="s">
        <v>108</v>
      </c>
      <c r="E12" s="4" t="s">
        <v>83</v>
      </c>
    </row>
    <row r="13" customFormat="false" ht="15" hidden="false" customHeight="false" outlineLevel="0" collapsed="false">
      <c r="A13" s="4" t="s">
        <v>109</v>
      </c>
      <c r="B13" s="4" t="s">
        <v>110</v>
      </c>
      <c r="C13" s="4" t="s">
        <v>111</v>
      </c>
      <c r="D13" s="4" t="s">
        <v>23</v>
      </c>
      <c r="E13" s="4" t="s">
        <v>83</v>
      </c>
    </row>
    <row r="14" customFormat="false" ht="15" hidden="false" customHeight="false" outlineLevel="0" collapsed="false">
      <c r="A14" s="4" t="s">
        <v>112</v>
      </c>
      <c r="B14" s="4" t="s">
        <v>113</v>
      </c>
      <c r="C14" s="4" t="s">
        <v>114</v>
      </c>
      <c r="D14" s="4" t="s">
        <v>115</v>
      </c>
      <c r="E14" s="4" t="s">
        <v>100</v>
      </c>
    </row>
    <row r="15" customFormat="false" ht="15" hidden="false" customHeight="false" outlineLevel="0" collapsed="false">
      <c r="A15" s="4" t="s">
        <v>116</v>
      </c>
      <c r="B15" s="4" t="s">
        <v>117</v>
      </c>
      <c r="C15" s="4" t="s">
        <v>118</v>
      </c>
      <c r="D15" s="4" t="s">
        <v>119</v>
      </c>
      <c r="E15" s="4" t="s">
        <v>83</v>
      </c>
    </row>
    <row r="16" customFormat="false" ht="15" hidden="false" customHeight="false" outlineLevel="0" collapsed="false">
      <c r="A16" s="4" t="s">
        <v>120</v>
      </c>
      <c r="B16" s="4" t="s">
        <v>80</v>
      </c>
      <c r="C16" s="4" t="s">
        <v>121</v>
      </c>
      <c r="D16" s="4" t="s">
        <v>122</v>
      </c>
      <c r="E16" s="4" t="s">
        <v>83</v>
      </c>
    </row>
  </sheetData>
  <autoFilter ref="A4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30" hidden="false" customHeight="true" outlineLevel="0" collapsed="false">
      <c r="A4" s="3" t="s">
        <v>2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7</v>
      </c>
    </row>
    <row r="5" customFormat="false" ht="15" hidden="false" customHeight="false" outlineLevel="0" collapsed="false">
      <c r="A5" s="4" t="s">
        <v>129</v>
      </c>
      <c r="B5" s="4" t="s">
        <v>130</v>
      </c>
      <c r="C5" s="4" t="s">
        <v>131</v>
      </c>
      <c r="D5" s="4" t="s">
        <v>44</v>
      </c>
      <c r="E5" s="4" t="s">
        <v>132</v>
      </c>
      <c r="F5" s="4" t="s">
        <v>15</v>
      </c>
    </row>
    <row r="6" customFormat="false" ht="23.85" hidden="false" customHeight="false" outlineLevel="0" collapsed="false">
      <c r="A6" s="4" t="s">
        <v>133</v>
      </c>
      <c r="B6" s="4" t="s">
        <v>130</v>
      </c>
      <c r="C6" s="4" t="s">
        <v>134</v>
      </c>
      <c r="D6" s="4" t="s">
        <v>63</v>
      </c>
      <c r="E6" s="4" t="s">
        <v>135</v>
      </c>
      <c r="F6" s="4" t="s">
        <v>15</v>
      </c>
    </row>
    <row r="7" customFormat="false" ht="15" hidden="false" customHeight="false" outlineLevel="0" collapsed="false">
      <c r="A7" s="4" t="s">
        <v>136</v>
      </c>
      <c r="B7" s="4" t="s">
        <v>130</v>
      </c>
      <c r="C7" s="4" t="s">
        <v>137</v>
      </c>
      <c r="D7" s="4" t="s">
        <v>138</v>
      </c>
      <c r="E7" s="4" t="s">
        <v>139</v>
      </c>
      <c r="F7" s="4" t="s">
        <v>15</v>
      </c>
    </row>
    <row r="8" customFormat="false" ht="15" hidden="false" customHeight="false" outlineLevel="0" collapsed="false">
      <c r="A8" s="4" t="s">
        <v>140</v>
      </c>
      <c r="B8" s="4" t="s">
        <v>141</v>
      </c>
      <c r="C8" s="4" t="s">
        <v>142</v>
      </c>
      <c r="D8" s="4" t="s">
        <v>14</v>
      </c>
      <c r="E8" s="4" t="s">
        <v>139</v>
      </c>
      <c r="F8" s="4" t="s">
        <v>15</v>
      </c>
    </row>
    <row r="9" customFormat="false" ht="15" hidden="false" customHeight="false" outlineLevel="0" collapsed="false">
      <c r="A9" s="4" t="s">
        <v>143</v>
      </c>
      <c r="B9" s="4" t="s">
        <v>141</v>
      </c>
      <c r="C9" s="4" t="s">
        <v>144</v>
      </c>
      <c r="D9" s="4" t="s">
        <v>145</v>
      </c>
      <c r="E9" s="4" t="s">
        <v>146</v>
      </c>
      <c r="F9" s="4" t="s">
        <v>15</v>
      </c>
    </row>
    <row r="10" customFormat="false" ht="15" hidden="false" customHeight="false" outlineLevel="0" collapsed="false">
      <c r="A10" s="4" t="s">
        <v>147</v>
      </c>
      <c r="B10" s="4" t="s">
        <v>148</v>
      </c>
      <c r="C10" s="4" t="s">
        <v>149</v>
      </c>
      <c r="D10" s="4" t="s">
        <v>150</v>
      </c>
      <c r="E10" s="4" t="s">
        <v>151</v>
      </c>
      <c r="F10" s="4" t="s">
        <v>15</v>
      </c>
    </row>
    <row r="11" customFormat="false" ht="15" hidden="false" customHeight="false" outlineLevel="0" collapsed="false">
      <c r="A11" s="4" t="s">
        <v>152</v>
      </c>
      <c r="B11" s="4" t="s">
        <v>148</v>
      </c>
      <c r="C11" s="4" t="s">
        <v>153</v>
      </c>
      <c r="D11" s="4" t="s">
        <v>154</v>
      </c>
      <c r="E11" s="4" t="s">
        <v>155</v>
      </c>
      <c r="F11" s="4" t="s">
        <v>15</v>
      </c>
    </row>
    <row r="12" customFormat="false" ht="15" hidden="false" customHeight="false" outlineLevel="0" collapsed="false">
      <c r="A12" s="4" t="s">
        <v>156</v>
      </c>
      <c r="B12" s="4" t="s">
        <v>157</v>
      </c>
      <c r="C12" s="4" t="s">
        <v>158</v>
      </c>
      <c r="D12" s="4" t="s">
        <v>138</v>
      </c>
      <c r="E12" s="4" t="s">
        <v>159</v>
      </c>
      <c r="F12" s="4" t="s">
        <v>15</v>
      </c>
    </row>
    <row r="13" customFormat="false" ht="23.85" hidden="false" customHeight="false" outlineLevel="0" collapsed="false">
      <c r="A13" s="4" t="s">
        <v>160</v>
      </c>
      <c r="B13" s="4" t="s">
        <v>157</v>
      </c>
      <c r="C13" s="4" t="s">
        <v>161</v>
      </c>
      <c r="D13" s="4" t="s">
        <v>33</v>
      </c>
      <c r="E13" s="4" t="s">
        <v>162</v>
      </c>
      <c r="F13" s="4" t="s">
        <v>15</v>
      </c>
    </row>
  </sheetData>
  <autoFilter ref="A4:F13"/>
  <dataValidations count="1">
    <dataValidation allowBlank="true" errorStyle="stop" operator="between" showDropDown="false" showErrorMessage="false" showInputMessage="false" sqref="F5:F43" type="list">
      <formula1>"Aberta,Em andamento,Atendida,Cancelada"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5" t="s">
        <v>164</v>
      </c>
      <c r="B3" s="5" t="n">
        <f aca="false">COUNTA(Assumptions!A5:A200)</f>
        <v>12</v>
      </c>
    </row>
    <row r="4" customFormat="false" ht="15" hidden="false" customHeight="false" outlineLevel="0" collapsed="false">
      <c r="A4" s="5" t="s">
        <v>165</v>
      </c>
      <c r="B4" s="5" t="n">
        <f aca="false">COUNTIF(Assumptions!F5:F200,"Aberta")</f>
        <v>12</v>
      </c>
    </row>
    <row r="5" customFormat="false" ht="15" hidden="false" customHeight="false" outlineLevel="0" collapsed="false">
      <c r="A5" s="5" t="s">
        <v>166</v>
      </c>
      <c r="B5" s="5" t="n">
        <f aca="false">COUNTA(Constraints!A4:A200)</f>
        <v>13</v>
      </c>
    </row>
    <row r="6" customFormat="false" ht="15" hidden="false" customHeight="false" outlineLevel="0" collapsed="false">
      <c r="A6" s="5" t="s">
        <v>167</v>
      </c>
      <c r="B6" s="5" t="n">
        <f aca="false">COUNTA(Dependencies!A4:A200)</f>
        <v>10</v>
      </c>
    </row>
    <row r="7" customFormat="false" ht="15" hidden="false" customHeight="false" outlineLevel="0" collapsed="false">
      <c r="A7" s="5" t="s">
        <v>168</v>
      </c>
      <c r="B7" s="5" t="n">
        <f aca="false">COUNTIF(Dependencies!F4:F200,"Aberta")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2026-09-22T17:31:57.3488325Z</dcterms:created>
  <dc:creator>MACIEL LIMA DE JESUS, ALAN</dc:creator>
  <dc:description/>
  <dc:language>en-US</dc:language>
  <lastModifiedBy>MACIEL LIMA DE JESUS, ALAN</lastModifiedBy>
  <dcterms:modified xsi:type="dcterms:W3CDTF">2026-09-22T17:31:57.3488325Z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